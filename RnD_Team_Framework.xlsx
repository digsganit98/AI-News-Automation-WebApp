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ganitinc1.sharepoint.com/sites/oe-genai/Shared Documents/General/RnD/2026/"/>
    </mc:Choice>
  </mc:AlternateContent>
  <xr:revisionPtr revIDLastSave="0" documentId="8_{9CBA41A1-E59A-45A0-8888-DEA3D425C259}" xr6:coauthVersionLast="47" xr6:coauthVersionMax="47" xr10:uidLastSave="{00000000-0000-0000-0000-000000000000}"/>
  <bookViews>
    <workbookView minimized="1" xWindow="0" yWindow="3040" windowWidth="19420" windowHeight="14300" tabRatio="500" firstSheet="4" activeTab="4" xr2:uid="{00000000-000D-0000-FFFF-FFFF00000000}"/>
  </bookViews>
  <sheets>
    <sheet name="Team" sheetId="7" r:id="rId1"/>
    <sheet name="Framework" sheetId="12" r:id="rId2"/>
    <sheet name="Research Team" sheetId="8" r:id="rId3"/>
    <sheet name="Development Team " sheetId="9" r:id="rId4"/>
    <sheet name="Idea List" sheetId="11" r:id="rId5"/>
    <sheet name="Topics" sheetId="10"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11" l="1"/>
  <c r="E8" i="11"/>
  <c r="C8" i="11"/>
  <c r="B8" i="11"/>
  <c r="E7" i="11"/>
  <c r="D7" i="11"/>
  <c r="C7" i="11"/>
  <c r="B7" i="11"/>
  <c r="E6" i="11"/>
  <c r="D6" i="11"/>
  <c r="C6" i="11"/>
  <c r="D9" i="11" l="1"/>
  <c r="B9" i="11"/>
  <c r="E9" i="11"/>
  <c r="F8" i="11"/>
  <c r="F7" i="11"/>
  <c r="C9" i="11"/>
  <c r="F6" i="11"/>
  <c r="F9" i="11" l="1"/>
</calcChain>
</file>

<file path=xl/sharedStrings.xml><?xml version="1.0" encoding="utf-8"?>
<sst xmlns="http://schemas.openxmlformats.org/spreadsheetml/2006/main" count="1060" uniqueCount="462">
  <si>
    <t>R&amp;D Team Operating Framework</t>
  </si>
  <si>
    <t>Vision</t>
  </si>
  <si>
    <t>R&amp;D doesn't just research technology — it finds it, proves it works, teaches it and markets it. A Researcher finds new, relevant topics; a Builder implements the promising ones, validates feasibility, and — through the Learning Team — turns it into a class, and — through the Marketing Team — into a published article.</t>
  </si>
  <si>
    <t>Objective</t>
  </si>
  <si>
    <t>Continuously research emerging technologies, implement and validate them, and convert what works into structured learning tasks, hands-on sessions and accelerator content for employees.</t>
  </si>
  <si>
    <t>Sub-Team</t>
  </si>
  <si>
    <t>Team Members</t>
  </si>
  <si>
    <t>Research Team</t>
  </si>
  <si>
    <t>Nivethitha, Adithya A, Raunak Mangal</t>
  </si>
  <si>
    <t>Scout trends, tools, competitions and events across multiple platforms; surface a steady flow of candidate ideas each week and shortlist the strongest ones for the Development Team.</t>
  </si>
  <si>
    <t>Development Team</t>
  </si>
  <si>
    <t>Nivethitha, Sayantini Sarkar, Melvin Salvius, Navyansh, Aarthi</t>
  </si>
  <si>
    <t>Take the shortlisted topics, implement and validate them, then convert them into learning content and teach/publish it.</t>
  </si>
  <si>
    <t>S.No</t>
  </si>
  <si>
    <t>Name</t>
  </si>
  <si>
    <t>Role</t>
  </si>
  <si>
    <t>Member type</t>
  </si>
  <si>
    <t>Nivethitha</t>
  </si>
  <si>
    <t>Researcher / Builder</t>
  </si>
  <si>
    <t>Primary</t>
  </si>
  <si>
    <t>Adithya A</t>
  </si>
  <si>
    <t>Researcher</t>
  </si>
  <si>
    <t>Raunak Mangal</t>
  </si>
  <si>
    <t xml:space="preserve">Researcher </t>
  </si>
  <si>
    <t>Sayantini Sarkar</t>
  </si>
  <si>
    <t>Builder</t>
  </si>
  <si>
    <t>Melvin Salvius</t>
  </si>
  <si>
    <t>Secondary</t>
  </si>
  <si>
    <t>Aarthi</t>
  </si>
  <si>
    <t>Navyansh</t>
  </si>
  <si>
    <t>Digvijay Yadav</t>
  </si>
  <si>
    <t>Primary: core to this team day to day. Secondary: also contributes to another team. Tertiary: floats in as needed. Builders stay the non-negotiable core either way.</t>
  </si>
  <si>
    <t>Downstream partners</t>
  </si>
  <si>
    <t>Learning Team</t>
  </si>
  <si>
    <t>Turns validated topics into a formal learning path / class for employees.</t>
  </si>
  <si>
    <t>Marketing Team</t>
  </si>
  <si>
    <t>Publishes the Builder's write-up as an article once a topic is validated and taught.</t>
  </si>
  <si>
    <t>Accelerators</t>
  </si>
  <si>
    <t>Relevant validated topics get folded into new or ongoing accelerator programs.</t>
  </si>
  <si>
    <t>Framework — How Research and Development Run in Parallel</t>
  </si>
  <si>
    <t>Weekly target</t>
  </si>
  <si>
    <t>A steady flow of candidate ideas per week. Finalize a shortlist matched to how many builders are free that week. The rest go into the Idea List tagged Build later / Article-only / Shelved — nothing is just dropped.</t>
  </si>
  <si>
    <t>Why offset by a day</t>
  </si>
  <si>
    <t>Research needs a head start before there's anything to build. Starting Development one day after Research begins means the first cleared topic goes straight to a builder instead of everyone waiting for the full shortlist to be finalized.</t>
  </si>
  <si>
    <t>Three ways topics get sourced</t>
  </si>
  <si>
    <t>Directed — a fixed rotation through the Topics page, so coverage never depends on luck. Emergent — spotted on monitored platforms (LinkedIn, Reddit, Hacker News, etc.). AI-assisted — using Claude via MCP-connected search to actively scan for and summarize candidates. Every idea gets tagged with its Source Type in the Idea List.</t>
  </si>
  <si>
    <t>Day</t>
  </si>
  <si>
    <t>Monday</t>
  </si>
  <si>
    <t>Find 1–2 new ideas today. Pick the best ones to hand over to Development.</t>
  </si>
  <si>
    <t>Start building one of the ideas Research picked.</t>
  </si>
  <si>
    <t>Tuesday</t>
  </si>
  <si>
    <t>Find 1–2 more new ideas today.</t>
  </si>
  <si>
    <t>Keep building. Start checking if it will actually work for us.</t>
  </si>
  <si>
    <t>Wednesday</t>
  </si>
  <si>
    <t>Write down what was found and picked this week, then report it to Harish on the GenAI call.</t>
  </si>
  <si>
    <t>Report what's built, what's still being worked on, and anything stuck.</t>
  </si>
  <si>
    <t>Thursday</t>
  </si>
  <si>
    <t>Find 1–2 more new ideas today. Pick the next batch for Development.</t>
  </si>
  <si>
    <t>Finish checking if it works. If it's ready, turn it into an article or a class.</t>
  </si>
  <si>
    <t>Friday</t>
  </si>
  <si>
    <t>Look back at the week — did we build at least 4 things and publish 2–3 articles? Save anything unused for later.</t>
  </si>
  <si>
    <t>Finish any leftover work. Publish the articles/classes that are ready.</t>
  </si>
  <si>
    <t>Research Team — Find &amp; Shortlist</t>
  </si>
  <si>
    <t>Scout and shortlist only — this team does not build or teach. It hands the week's shortlisted candidates to the Development Team, and documents small/simple findings as articles itself when no build is needed.</t>
  </si>
  <si>
    <t>How topics are sourced</t>
  </si>
  <si>
    <t>Three sources, tagged with a Source Type on every idea: 
(1) Directed — a fixed rotation through the Topics catalog so coverage never depends on luck; 
(2) Emergent — things spotted on the monitored platforms below; 
(3) AI-assisted — using Claude (via MCP-connected search) to actively scan for and summarize potential topics, treated as its own source alongside manual scanning.</t>
  </si>
  <si>
    <t>Platform to monitor</t>
  </si>
  <si>
    <t>What to look for</t>
  </si>
  <si>
    <t>LinkedIn</t>
  </si>
  <si>
    <t>Industry news, thought-leadership posts, launches</t>
  </si>
  <si>
    <t>Substack</t>
  </si>
  <si>
    <t>Deep-dive newsletters from AI/cloud practitioners</t>
  </si>
  <si>
    <t>Reddit (r/MachineLearning, r/LocalLLaMA, etc.)</t>
  </si>
  <si>
    <t>Community discussions, early signals</t>
  </si>
  <si>
    <t>Medium</t>
  </si>
  <si>
    <t>Technical write-ups and tutorials</t>
  </si>
  <si>
    <t>Hacker News</t>
  </si>
  <si>
    <t>Breaking tech, launches, startup-adjacent discussion</t>
  </si>
  <si>
    <t>arXiv</t>
  </si>
  <si>
    <t>Research papers</t>
  </si>
  <si>
    <t>Claude (via MCP-connected search)</t>
  </si>
  <si>
    <t>AI-assisted scanning across all of the above, summarized on demand</t>
  </si>
  <si>
    <t>Activity</t>
  </si>
  <si>
    <t>Frequency</t>
  </si>
  <si>
    <t>Owner</t>
  </si>
  <si>
    <t>Monitor assigned platforms (including Claude/MCP-assisted search) on a rotating basis; capture anything relevant to the always-on idea list</t>
  </si>
  <si>
    <t>Daily</t>
  </si>
  <si>
    <t>All researchers</t>
  </si>
  <si>
    <t>Screen captured ideas and tag with Tech Domain, Cloud/Platform, Industry Vertical and Source Type</t>
  </si>
  <si>
    <t>Daily — pick up happens the same day a topic is shortlisted</t>
  </si>
  <si>
    <t>Update the Idea List and report to Harish on the Wednesday GenAI call: ideas found, shortlisted, shelved</t>
  </si>
  <si>
    <t>Weekly — Tuesday</t>
  </si>
  <si>
    <t>Retro: check the week hit the target (≥4 builds, 2-3 articles); revisit anything Shelved worth a second look</t>
  </si>
  <si>
    <t>Weekly — Friday</t>
  </si>
  <si>
    <t>Track competitions, hackathons, events and external opportunities for employees</t>
  </si>
  <si>
    <t>Weekly</t>
  </si>
  <si>
    <t>Log every idea found (shortlisted, documented, or shelved) in the Idea List</t>
  </si>
  <si>
    <t>Ongoing / daily</t>
  </si>
  <si>
    <t>Development Team — Implement, Teach &amp; Publish</t>
  </si>
  <si>
    <t>Nivethitha, Sayantini Sarkar, Melvin Salvius, Navyansh, Aarthi, Raunak</t>
  </si>
  <si>
    <t>Principle</t>
  </si>
  <si>
    <t>Whoever builds a topic owns it end to end: implement it, validate feasibility, then teach the class and write the article — then assign any follow-up tasks to the rest of the team for new or existing accelerators.</t>
  </si>
  <si>
    <t>Intake &amp; SLA</t>
  </si>
  <si>
    <t>Only accepts shortlisted topics from the Research Team — one topic per builder at a time, picked up the moment it's shortlisted (no waiting for a fixed day). Target: 2–3 working days per topic from intake to class + article, and anything over 3 days gets flagged Blocked with a reason. Weekly target: at least 4 builds and 2-3 articles by Friday. Report progress to Harish on the Wednesday GenAI call.</t>
  </si>
  <si>
    <t>Step</t>
  </si>
  <si>
    <t>Stage</t>
  </si>
  <si>
    <t>What happens</t>
  </si>
  <si>
    <t>Output</t>
  </si>
  <si>
    <t>Receive shortlisted topic</t>
  </si>
  <si>
    <t>Pick up one of the week's shortlisted topics from the Research Team.</t>
  </si>
  <si>
    <t>Assigned topic</t>
  </si>
  <si>
    <t>Research it properly</t>
  </si>
  <si>
    <t>Deep-dive into docs, existing implementations, tools and papers to understand how it actually works.</t>
  </si>
  <si>
    <t>Research notes</t>
  </si>
  <si>
    <t>All Builders</t>
  </si>
  <si>
    <t>Implement (build a POC)</t>
  </si>
  <si>
    <t>Build a small working proof-of-concept — not just theory, an actual running example.</t>
  </si>
  <si>
    <t>Working POC / code with solution design</t>
  </si>
  <si>
    <t>Check feasibility</t>
  </si>
  <si>
    <t>Judge whether it's usable for our stack and clients: cost, complexity, maturity, risk.</t>
  </si>
  <si>
    <t>Go / No-go / Explore later</t>
  </si>
  <si>
    <t>Harish, Nivethitha</t>
  </si>
  <si>
    <t>Convert into learning content</t>
  </si>
  <si>
    <t>Break the validated topic into beginner, intermediate and advanced tasks &amp; subtasks, with points.</t>
  </si>
  <si>
    <t>Structured learning tasks</t>
  </si>
  <si>
    <t>Builder + Learning team help</t>
  </si>
  <si>
    <t>Teach &amp; publish</t>
  </si>
  <si>
    <t>Run a short class/session with the Learning Team and write up an article for the Marketing Team.</t>
  </si>
  <si>
    <t>Class delivered + article published</t>
  </si>
  <si>
    <t>Builder + Marketing team help</t>
  </si>
  <si>
    <t>Assign &amp; track</t>
  </si>
  <si>
    <t>Assign related follow-up tasks to the wider team.</t>
  </si>
  <si>
    <t>Tasks assigned</t>
  </si>
  <si>
    <t>Idea List — Weekly Researcher Throughput</t>
  </si>
  <si>
    <t>Track who's finding what and how each idea was sourced (Directed / Emergent / AI-assisted). Domain / Cloud / Industry tags keep this searchable — pull new entries from the Topics page or log new finds directly.</t>
  </si>
  <si>
    <t>Weekly Summary (auto-calculated from the log below)</t>
  </si>
  <si>
    <t>Ideas Logged</t>
  </si>
  <si>
    <t>Build</t>
  </si>
  <si>
    <t>Article-only</t>
  </si>
  <si>
    <t>Shelved</t>
  </si>
  <si>
    <t>Conversion % to Build</t>
  </si>
  <si>
    <t>Team Total</t>
  </si>
  <si>
    <t>Weekly Idea Log (add one row per idea found)</t>
  </si>
  <si>
    <t>Date</t>
  </si>
  <si>
    <t>Idea / Topic</t>
  </si>
  <si>
    <t>Summary</t>
  </si>
  <si>
    <t>Tech Domain</t>
  </si>
  <si>
    <t>Cloud / Platform</t>
  </si>
  <si>
    <t>Industry Vertical</t>
  </si>
  <si>
    <t>Source Type</t>
  </si>
  <si>
    <t>Link</t>
  </si>
  <si>
    <t>Build Effort</t>
  </si>
  <si>
    <t>Decision</t>
  </si>
  <si>
    <t>Notes</t>
  </si>
  <si>
    <t>Build start date</t>
  </si>
  <si>
    <t>End Date</t>
  </si>
  <si>
    <t>Status</t>
  </si>
  <si>
    <t>16-09-26</t>
  </si>
  <si>
    <t>BodhanAI from IIT Madras</t>
  </si>
  <si>
    <t xml:space="preserve">BodhanAI, an initiative incubated from IIT Madras, has announced Indic-Transcribe – a new transcription model that works with 26 local languages and English. BodhanAI says that it is more accurate </t>
  </si>
  <si>
    <t>Industry Application</t>
  </si>
  <si>
    <t>Open-source</t>
  </si>
  <si>
    <t>Other</t>
  </si>
  <si>
    <t>AI-assisted (Claude/MCP)</t>
  </si>
  <si>
    <t>Directed (Radar/Topics page)</t>
  </si>
  <si>
    <t>High</t>
  </si>
  <si>
    <t>BUILD is done and is documented</t>
  </si>
  <si>
    <t>Sayantini, Aarthi</t>
  </si>
  <si>
    <t>Done</t>
  </si>
  <si>
    <t>GenAI in BFSI — fraud detection &amp; KYC automation</t>
  </si>
  <si>
    <t>Applying GenAI, traditional ML, RAG, multimodal models and agentic workflows to automate fraud detection, KYC/AML, compliance and financial-risk processes. It can analyse transactions, customer data, identity documents and other unstructured evidence to identify suspicious activity and generate investigation insights.</t>
  </si>
  <si>
    <t>Cross-cloud</t>
  </si>
  <si>
    <t>BFSI</t>
  </si>
  <si>
    <t>A Faster Path to Scaling GenAI in Banking Compliance | BCG</t>
  </si>
  <si>
    <t>Pending</t>
  </si>
  <si>
    <t>Not Started</t>
  </si>
  <si>
    <t>Datamimic — deterministic synthetic test data with MCP integration</t>
  </si>
  <si>
    <t>Open-source engine generating deterministic, domain-aware synthetic data and pseudonymizing PII for regulated environments; exposes an MCP server so AI agents can author/verify data models directly</t>
  </si>
  <si>
    <t>Cross-industry</t>
  </si>
  <si>
    <t>Emergent (Signal)</t>
  </si>
  <si>
    <t>https://github.com/rapiddweller/datamimic</t>
  </si>
  <si>
    <t>TypeSafe AI Jev — System One Models for structured, low-latency AI decisions</t>
  </si>
  <si>
    <t>New model class from TypeSafe AI that returns typed, calibrated decisions instead of text — output is schema-guaranteed (can't return an invalid/off-format value),with confidence scores flagging uncertainty for judgements. claims 20x-200x cheaper/faster than LLMs (70–500ms/call). Built for embedding fast judgment calls (classify, score, route) inside existing code and pipelines; also usable as a guardrail/verifier layer over existing LLM agents. Early access, launched 15-09-26 — no track record yet.</t>
  </si>
  <si>
    <t>GenAI</t>
  </si>
  <si>
    <t>https://typesafe.ai/blog/introducing-system-one-models-and-jev</t>
  </si>
  <si>
    <t>Melvin</t>
  </si>
  <si>
    <t>In Progress</t>
  </si>
  <si>
    <t>Google Gemini 3.8 Live &amp; 3.8 Live Extended Thinking — next-generation real-time voice AI and agentic reasoning models.</t>
  </si>
  <si>
    <t>Google launched Gemini 3.8 Live for scalable, low-latency voice conversations with visual understanding, tool calling, and multilingual support. Gemini 3.8 Live Extended Thinking adds deeper multi-step reasoning while continuing natural conversation and executing tasks asynchronously.</t>
  </si>
  <si>
    <t>GCP</t>
  </si>
  <si>
    <t>https://blog.google/innovation-and-ai/models-and-research/gemini-models/gemini-3-8-live-gemini-3-8-live-extended-thinking/</t>
  </si>
  <si>
    <t>18-09-26</t>
  </si>
  <si>
    <t>Bend — AI-agent-native language that blocks bugs via mathematical proof</t>
  </si>
  <si>
    <t>AI-agent-only programming language. Its standout feature: you write a "law" (a rule that must never break), and the language mathematically proves every code change still satisfies it before allowing a merge — buggy AI-generated code becomes physically impossible to merge, not just harder to slip past review. Also auto-parallelizes across CPU/GPU without manual thread code, and compiles/proof-checks in under a second so an AI agent can verify itself after every edit. Very early-stage (self-reported claims, "expect bugs").</t>
  </si>
  <si>
    <t>Language</t>
  </si>
  <si>
    <t>https://bend-lang.com/
https://github.com/bendlang/bend</t>
  </si>
  <si>
    <t>Bend in One Minute</t>
  </si>
  <si>
    <t>Raunak</t>
  </si>
  <si>
    <t>28/09/26</t>
  </si>
  <si>
    <t xml:space="preserve">	Qwen3.8-Omni-Flash — Alibaba's agentic omnimodal model (text/image/audio/video)</t>
  </si>
  <si>
    <t>Alibaba launched Qwen3.8-Omni-Flash, a native omnimodal model for scalable, low-cost understanding of text, image, audio, and video with a 1M-token context window. It adds agentic delivery — planning tasks, calling tools, and executing creative work (video editing, meeting understanding, research reports) directly from audio-visual input, while cutting audio-visual processing costs by over 93% and matching or exceeding Gemini 3.8 Flash on audio performance.</t>
  </si>
  <si>
    <t>https://qwen.ai/blog?id=qwen3.8-omni-flash</t>
  </si>
  <si>
    <t>21-09-26</t>
  </si>
  <si>
    <t xml:space="preserve">	AX (Agent Executor) — Google's open-source runtime for running AI agents at scale</t>
  </si>
  <si>
    <t>Google's open-source tool for running AI agents safely at large scale. AI agents don't behave like normal apps — they sit idle waiting for a model or tool to respond, then suddenly burn a lot of compute, and can rack up costs if left unchecked. AX handles this by letting you describe an agent's task in a simple config file: what code/tools it needs, and its goal. AX then runs it in a sandbox with resource limits, sets up the environment automatically (even from a plain-English description), restricts what it can access on the network, and manages model settings/API keys in one place. Idle agents can pause and resume in under a second at almost no cost, which is how it scales to running huge numbers of agents on one machine cluster. Useful both for running agents in production and for researchers testing many agents at once.</t>
  </si>
  <si>
    <t>Agentic AI</t>
  </si>
  <si>
    <t xml:space="preserve">https://agentexecutor.io/
https://github.com/google/ax
</t>
  </si>
  <si>
    <t xml:space="preserve">	R2T2 — NetEase Youdao's open-source real-time streaming speech-to-text model</t>
  </si>
  <si>
    <t>Open-source streaming speech-to-text model that transcribes speech as it's being spoken. Commits text incrementally without rewriting earlier words as more context arrives, with configurable latency-vs-accuracy tuning. Supports English and Mandarin.model weights (Hugging Face/ModelScope), and a hosted demo are live now</t>
  </si>
  <si>
    <t>https://r2t2.ai/</t>
  </si>
  <si>
    <t xml:space="preserve">Sayantini </t>
  </si>
  <si>
    <t xml:space="preserve">Paddle OCR vs Small OCR vs AWS textract </t>
  </si>
  <si>
    <t>Benchmarking on cost, accuracy on text and tabular content, multi language, coordinates of text</t>
  </si>
  <si>
    <t>21-09-2026</t>
  </si>
  <si>
    <t>AWS Sample repo</t>
  </si>
  <si>
    <t>The repo had 43 potential usecases that can be converted to accelarators</t>
  </si>
  <si>
    <t>AWS</t>
  </si>
  <si>
    <t>https://github.com/aws-samples/sample-agentic-value-accelerator</t>
  </si>
  <si>
    <t>Low</t>
  </si>
  <si>
    <t>Excel shared</t>
  </si>
  <si>
    <t>Aaditya</t>
  </si>
  <si>
    <t>Dream-RSI: Recursive Self-Improvement through Evolving Worlds</t>
  </si>
  <si>
    <t>A framework for recursively improving AI exploration strategies through historical discovery replay and offline policy evaluation.</t>
  </si>
  <si>
    <t>Dream-RSI · Recursive Self-Improvement through Evolving Worlds</t>
  </si>
  <si>
    <t>Strands Harness</t>
  </si>
  <si>
    <t>A ready-made, Apache 2.0 agent harness from the Strands agent framework, released 21 Sep. It comes with shell, file, web and context-management tools and reports 28% lower token cost across six benchmarks.</t>
  </si>
  <si>
    <t>Framework/Tooling</t>
  </si>
  <si>
    <t>https://strandsagents.com/blog/introducing-strands-harness/</t>
  </si>
  <si>
    <t>OpenMCP (fork of MCP)</t>
  </si>
  <si>
    <t>An Apache 2.0 fork of the Model Context Protocol (MCP) that adds code-first governance controls. It's an early sign the MCP ecosystem may split.</t>
  </si>
  <si>
    <t>https://github.com/enclawed/omcp</t>
  </si>
  <si>
    <t>Cua computer-use stack</t>
  </si>
  <si>
    <t>MIT-licensed tooling for agents that operate desktop apps, with a 4B specialist model and benchmarks.</t>
  </si>
  <si>
    <t>https://github.com/trycua/cua</t>
  </si>
  <si>
    <t>Vercel Sandbox Drives (public beta)</t>
  </si>
  <si>
    <t>Persistent storage for agent sandboxes that survives when the sandbox shuts down. It's part of a broader wave of agent sandbox products, including Prime Intellect's sandboxes at $0.02 per vCPU-hour.</t>
  </si>
  <si>
    <t>Infrastructure/MLOps</t>
  </si>
  <si>
    <t>Vercel</t>
  </si>
  <si>
    <t>vercel.com</t>
  </si>
  <si>
    <t>RRSI: Regularized Recursive Self-Improvement</t>
  </si>
  <si>
    <t>A method for agents to improve their own harness without overfitting. It reports +4.7 on tasks outside the training set and is directly relevant to self-improving agents.</t>
  </si>
  <si>
    <t>Methodology / AGI</t>
  </si>
  <si>
    <t>https://arxiv.org/abs/2609.24972</t>
  </si>
  <si>
    <t>Wiki Foundation Model (agent memory)</t>
  </si>
  <si>
    <t>Stores an agent's long-term memory as linked wiki-style pages, with 10.5x faster training on agent benchmarks.</t>
  </si>
  <si>
    <t>Methodology</t>
  </si>
  <si>
    <t>https://arxiv.org/abs/2609.18182</t>
  </si>
  <si>
    <t>Emergent collusion among agents</t>
  </si>
  <si>
    <t>Agents trained together learned to cooperate with each other against the rules in 94% of 10-episode runs. This is a key safety finding for multi-agent systems.</t>
  </si>
  <si>
    <t>Research</t>
  </si>
  <si>
    <t>https://arxiv.org/abs/2609.24967</t>
  </si>
  <si>
    <t>Alibaba Cloud launches AgentCore</t>
  </si>
  <si>
    <t>Alibaba Cloud unveiled its "agentic cloud" strategy alongside AgentCore, an enterprise-grade agent platform for production agent workflows, as part of a broader full-stack AI push (new Qwen models + chips).</t>
  </si>
  <si>
    <t>Agentic Systems</t>
  </si>
  <si>
    <t>Alibaba Cloud</t>
  </si>
  <si>
    <t>techafricanews.com</t>
  </si>
  <si>
    <t>HLE-Diamond benchmark launched</t>
  </si>
  <si>
    <t>CAIS and Scale AI released a refined 1,000-question subset of Humanity's Last Exam (500 reasoning + 500 expert-knowledge), built over a year of community-driven cleanup, for tougher closed-book model evaluation.</t>
  </si>
  <si>
    <t>lastexam.ai</t>
  </si>
  <si>
    <t>Context compression for long-horizon agents</t>
  </si>
  <si>
    <t>New research proposes ways for LLM agents to safely discard parts of their reasoning trace without losing task-critical memory, targeting a key agentic-scaling bottleneck.</t>
  </si>
  <si>
    <t>Open-source/Research</t>
  </si>
  <si>
    <t>Xiaomi MiMo-V2.6: Open-Weight Multimodal Reasoning and Agentic AI Model Family</t>
  </si>
  <si>
    <t>Xiaomi MiMo-V2.6 is a family of open-weight multimodal foundation models comprising Pro, Flash, and Pro UltraSpeed variants. The family combines advanced reasoning, large-scale reinforcement learning, multimodal understanding, coding, tool use, and long-horizon agent execution. Pro targets complex reasoning and demanding agentic workflows, Flash focuses on cost-efficient, high-throughput inference, and Pro UltraSpeed targets latency-sensitive applications. The family offers potential applications in enterprise automation, software engineering, document intelligence, and multi-agent systems, with opportunities for self-hosted or API-based deployment, subject to infrastructure, licensing, and security requirements.</t>
  </si>
  <si>
    <t>Cross-industry, BFSI, Healthcare, Retail, Manufacturing</t>
  </si>
  <si>
    <t>https://mimo.mi.com/docs/en-US/news/latest/v2-6</t>
  </si>
  <si>
    <t>CAIRN (Cognitive Artifact Intelligence Research Network): Metadata-First Tracking and Classification of AI-Integrated Malware</t>
  </si>
  <si>
    <t>Cisco Talos's open-source research toolkit for identifying, classifying, and tracking malware that incorporates or exploits AI systems. CAIRN uses metadata-first threat hunting, YARA rules, semantic clustering, and relationship graphs to detect AI-related artifacts such as LLM API endpoints, embedded prompts, agent orchestration logic, and AI-analysis evasion strings, without requiring binary downloads or execution. It enables threat researchers to correlate malware samples, identify emerging AI-enabled attack patterns, and investigate autonomous malware behavior. Its initial findings include CLOSEDQUORUM, an AI-driven command-and-control implant that uses multiple LLMs to make operational decisions.</t>
  </si>
  <si>
    <t>Other (Cybersecurity / Threat Intelligence)</t>
  </si>
  <si>
    <t>Open-source; Other (Cisco Talos)</t>
  </si>
  <si>
    <t>https://blog.talosintelligence.com/introducing-cairn-frontier-tracking-for-ai-integrated-malware/</t>
  </si>
  <si>
    <t>OneJev: Multimodal System One Decision Models for Visual Reasoning, GUI Agents, and Structured Decision Automation</t>
  </si>
  <si>
    <t>OneJev is an open-weight multimodal decision-model family by OmniJev, available in 0.8B, 4B, 9B, 27B, and 27B-FP8 variants. It processes images, video, and text to generate structured decisions, probabilities, and confidence estimates in a single forward pass. Designed for visual reasoning, GUI automation, and computer-use agents, it enables enterprise applications such as workflow automation, screen intelligence, and real-time visual decision-making.</t>
  </si>
  <si>
    <t>OneJev - a OmniJev Collection ,
https://www.reddit.com/r/Qwen_AI/comments/1wslo2v/onejev_open_multimodal_jevlike_models_5_ms_per/</t>
  </si>
  <si>
    <t>Topics — Reference Catalog</t>
  </si>
  <si>
    <t>A concrete, standing list so researchers aren't starting from a blank page every week. Pick from here (Directed) or add new ones found on the platforms / via Claude-MCP search (Emergent / AI-assisted) — see Research Team page.</t>
  </si>
  <si>
    <t>Domain</t>
  </si>
  <si>
    <t>Topic</t>
  </si>
  <si>
    <t>What it covers</t>
  </si>
  <si>
    <t>Industry Fit</t>
  </si>
  <si>
    <t>Multi-agent orchestration (LangGraph, CrewAI, AutoGen, Semantic Kernel)</t>
  </si>
  <si>
    <t>Coordinating multiple AI agents on a shared task</t>
  </si>
  <si>
    <t>AWS Bedrock Agents</t>
  </si>
  <si>
    <t>Managed agent-building on AWS</t>
  </si>
  <si>
    <t>Azure AI Foundry Agent Service</t>
  </si>
  <si>
    <t>Managed agent-building on Azure</t>
  </si>
  <si>
    <t>Azure</t>
  </si>
  <si>
    <t>Google Vertex AI Agent Builder</t>
  </si>
  <si>
    <t>Managed agent-building on GCP</t>
  </si>
  <si>
    <t>Claude Agent SDK &amp; MCP integrations</t>
  </si>
  <si>
    <t>Building agents and tool integrations with Claude</t>
  </si>
  <si>
    <t>Anthropic</t>
  </si>
  <si>
    <t>OpenAI Assistants API / Agents SDK / Swarm</t>
  </si>
  <si>
    <t>Managed agent-building with OpenAI</t>
  </si>
  <si>
    <t>OpenAI</t>
  </si>
  <si>
    <t>Agentic RAG (retrieval + reasoning loops)</t>
  </si>
  <si>
    <t>Agents that retrieve, reason, and act iteratively</t>
  </si>
  <si>
    <t>Autonomous coding agents (Claude Code, Cursor, Devin-style)</t>
  </si>
  <si>
    <t>AI agents that write and ship code with minimal supervision</t>
  </si>
  <si>
    <t>Software / IT</t>
  </si>
  <si>
    <t>Agent memory &amp; long-term state management</t>
  </si>
  <si>
    <t>Giving agents persistent context across sessions</t>
  </si>
  <si>
    <t>Computer-use / browser-use agents (Claude Computer Use, Browserbase)</t>
  </si>
  <si>
    <t>Agents that operate UIs the way a human would</t>
  </si>
  <si>
    <t>Agent-to-agent communication protocols (A2A, MCP)</t>
  </si>
  <si>
    <t>Standards for agents to talk to each other and to tools</t>
  </si>
  <si>
    <t>Agent evaluation &amp; benchmarking</t>
  </si>
  <si>
    <t>Measuring how reliably an agent completes real tasks</t>
  </si>
  <si>
    <t>Voice-driven / real-time agentic assistants</t>
  </si>
  <si>
    <t>Agents operated through live speech</t>
  </si>
  <si>
    <t>Customer service</t>
  </si>
  <si>
    <t>Agentic workflow automation (n8n, Zapier AI, Make)</t>
  </si>
  <si>
    <t>Wiring agents into no-code business workflows</t>
  </si>
  <si>
    <t>Human-in-the-loop agent design patterns</t>
  </si>
  <si>
    <t>Where and how humans approve or correct agent actions</t>
  </si>
  <si>
    <t>Agent security (prompt-injection &amp; tool-abuse defense)</t>
  </si>
  <si>
    <t>Protecting agents from being hijacked via malicious input</t>
  </si>
  <si>
    <t>Retrieval-Augmented Generation (RAG) patterns</t>
  </si>
  <si>
    <t>Grounding model answers in company/domain data</t>
  </si>
  <si>
    <t>Fine-tuning vs RAG vs prompt engineering</t>
  </si>
  <si>
    <t>Choosing the right customization approach for a use case</t>
  </si>
  <si>
    <t>Multimodal models (text + image + voice)</t>
  </si>
  <si>
    <t>Models that reason across more than one data type</t>
  </si>
  <si>
    <t>Media / Retail</t>
  </si>
  <si>
    <t>Voice AI / real-time speech agents</t>
  </si>
  <si>
    <t>Real-time conversational voice interfaces</t>
  </si>
  <si>
    <t>Structured output &amp; function calling</t>
  </si>
  <si>
    <t>Getting reliable, machine-readable output from a model</t>
  </si>
  <si>
    <t>Guardrails &amp; AI safety tooling (Guardrails AI, NeMo Guardrails)</t>
  </si>
  <si>
    <t>Controlling and validating model behaviour in production</t>
  </si>
  <si>
    <t>Vector databases (Pinecone, Weaviate, pgvector, Milvus)</t>
  </si>
  <si>
    <t>Storage and retrieval for embeddings</t>
  </si>
  <si>
    <t>Text-to-SQL / natural language data querying</t>
  </si>
  <si>
    <t>Letting non-technical users query data in plain English</t>
  </si>
  <si>
    <t>BFSI / Analytics</t>
  </si>
  <si>
    <t>Prompt engineering &amp; optimization frameworks (DSPy)</t>
  </si>
  <si>
    <t>Systematically improving prompts instead of trial and error</t>
  </si>
  <si>
    <t>LLM observability &amp; evaluation (LangSmith, Langfuse, Arize)</t>
  </si>
  <si>
    <t>Tracking model quality, cost and drift in production</t>
  </si>
  <si>
    <t>Multi-model gateways / routing (OpenRouter, LiteLLM)</t>
  </si>
  <si>
    <t>Switching between models based on cost/quality needs</t>
  </si>
  <si>
    <t>Open-source LLMs (Llama, Mistral, Qwen, DeepSeek)</t>
  </si>
  <si>
    <t>Self-hosted alternatives to proprietary models</t>
  </si>
  <si>
    <t>Small language models &amp; on-device inference</t>
  </si>
  <si>
    <t>Running lighter models locally or at the edge</t>
  </si>
  <si>
    <t>Long-context &amp; context-window management techniques</t>
  </si>
  <si>
    <t>Handling very large inputs reliably</t>
  </si>
  <si>
    <t>Synthetic data generation</t>
  </si>
  <si>
    <t>Creating training/test data with GenAI</t>
  </si>
  <si>
    <t>AI red-teaming &amp; jailbreak testing</t>
  </si>
  <si>
    <t>Proactively probing models for unsafe behaviour</t>
  </si>
  <si>
    <t>GraphRAG / knowledge-graph-augmented generation</t>
  </si>
  <si>
    <t>Combining knowledge graphs with retrieval for better grounding</t>
  </si>
  <si>
    <t>Document processing pipelines (OCR + GenAI)</t>
  </si>
  <si>
    <t>Extracting and structuring information from scanned/complex docs</t>
  </si>
  <si>
    <t>Cloud AI/ML Platform</t>
  </si>
  <si>
    <t>AWS Bedrock (model marketplace + fine-tuning)</t>
  </si>
  <si>
    <t>Managed foundation-model access and customization on AWS</t>
  </si>
  <si>
    <t>Azure OpenAI Service</t>
  </si>
  <si>
    <t>Managed OpenAI models on Azure</t>
  </si>
  <si>
    <t>GCP Vertex AI (Gemini, Model Garden)</t>
  </si>
  <si>
    <t>Managed model access and MLOps on GCP</t>
  </si>
  <si>
    <t>Snowflake Cortex AI</t>
  </si>
  <si>
    <t>GenAI functions built into the Snowflake data platform</t>
  </si>
  <si>
    <t>Snowflake</t>
  </si>
  <si>
    <t>Analytics / BFSI</t>
  </si>
  <si>
    <t>Databricks Mosaic AI</t>
  </si>
  <si>
    <t>GenAI and ML tooling built into Databricks</t>
  </si>
  <si>
    <t>Databricks</t>
  </si>
  <si>
    <t>Analytics / Cross-industry</t>
  </si>
  <si>
    <t>IBM watsonx</t>
  </si>
  <si>
    <t>IBM's enterprise AI and data platform</t>
  </si>
  <si>
    <t>IBM</t>
  </si>
  <si>
    <t>Oracle OCI Generative AI</t>
  </si>
  <si>
    <t>Generative AI services on Oracle Cloud</t>
  </si>
  <si>
    <t>Oracle</t>
  </si>
  <si>
    <t>SAP AI Core / Joule</t>
  </si>
  <si>
    <t>Embedded AI within SAP's enterprise applications</t>
  </si>
  <si>
    <t>SAP</t>
  </si>
  <si>
    <t>NVIDIA NIM / AI Enterprise</t>
  </si>
  <si>
    <t>Optimized inference microservices for deploying models</t>
  </si>
  <si>
    <t>NVIDIA</t>
  </si>
  <si>
    <t>Hugging Face Inference Endpoints</t>
  </si>
  <si>
    <t>Hosted deployment for open-source models</t>
  </si>
  <si>
    <t>Applying GenAI to financial risk and compliance workflows</t>
  </si>
  <si>
    <t>GenAI in Healthcare — clinical documentation assist</t>
  </si>
  <si>
    <t>Reducing documentation load for clinical staff</t>
  </si>
  <si>
    <t>Healthcare</t>
  </si>
  <si>
    <t>GenAI in Retail — personalization &amp; catalog enrichment</t>
  </si>
  <si>
    <t>Product recommendations and automated catalog content</t>
  </si>
  <si>
    <t>Retail</t>
  </si>
  <si>
    <t>GenAI in Manufacturing — predictive maintenance copilots</t>
  </si>
  <si>
    <t>AI-assisted equipment monitoring and maintenance planning</t>
  </si>
  <si>
    <t>Manufacturing</t>
  </si>
  <si>
    <t>GenAI in customer support — ticket triage &amp; auto-resolution</t>
  </si>
  <si>
    <t>Automating first-line support responses and routing</t>
  </si>
  <si>
    <t>GenAI in Legal — contract review &amp; clause analysis</t>
  </si>
  <si>
    <t>Speeding up legal document review with GenAI</t>
  </si>
  <si>
    <t>Legal</t>
  </si>
  <si>
    <t>GenAI in HR — resume screening &amp; candidate matching</t>
  </si>
  <si>
    <t>Automating early-stage recruiting workflows</t>
  </si>
  <si>
    <t>HR</t>
  </si>
  <si>
    <t>GenAI in Supply Chain — demand forecasting copilots</t>
  </si>
  <si>
    <t>AI-assisted inventory and logistics planning</t>
  </si>
  <si>
    <t>Supply Chain</t>
  </si>
  <si>
    <t>GenAI in Insurance — claims processing automation</t>
  </si>
  <si>
    <t>Speeding up claims intake and triage</t>
  </si>
  <si>
    <t>Insurance</t>
  </si>
  <si>
    <t>GenAI in Education — personalized learning content generation</t>
  </si>
  <si>
    <t>Auto-generating tailored learning material</t>
  </si>
  <si>
    <t>Education</t>
  </si>
  <si>
    <t>GenAI in Marketing — content &amp; campaign generation</t>
  </si>
  <si>
    <t>Drafting and optimizing marketing content with GenAI</t>
  </si>
  <si>
    <t>Marketing</t>
  </si>
  <si>
    <t>GenAI in Software Engineering — code review &amp; test generation</t>
  </si>
  <si>
    <t>Using GenAI to review code and generate tests</t>
  </si>
  <si>
    <t>MLOps &amp; AI Infrastructure</t>
  </si>
  <si>
    <t>LLMOps pipelines (prompt versioning, CI/CD for AI)</t>
  </si>
  <si>
    <t>Treating prompts and models like versioned, tested code</t>
  </si>
  <si>
    <t>Model deployment &amp; serving (vLLM, TGI, Triton)</t>
  </si>
  <si>
    <t>Efficiently serving models at scale</t>
  </si>
  <si>
    <t>Vector DB operations &amp; scaling</t>
  </si>
  <si>
    <t>Running vector search reliably in production</t>
  </si>
  <si>
    <t>Cost optimization (caching, batching, quantization)</t>
  </si>
  <si>
    <t>Reducing LLM inference spend without hurting quality</t>
  </si>
  <si>
    <t>Data pipelines for RAG / training</t>
  </si>
  <si>
    <t>Getting clean, current data into GenAI systems</t>
  </si>
  <si>
    <t>Feature stores &amp; ML pipeline orchestration (Airflow, Kubeflow)</t>
  </si>
  <si>
    <t>Managing data/model pipelines end to end</t>
  </si>
  <si>
    <t>A/B testing &amp; experimentation for AI features</t>
  </si>
  <si>
    <t>Measuring real impact of AI changes before full rollout</t>
  </si>
  <si>
    <t>Model monitoring &amp; drift detection</t>
  </si>
  <si>
    <t>Catching quality degradation in production models</t>
  </si>
  <si>
    <t>AI Governance, Security &amp; Safety</t>
  </si>
  <si>
    <t>Responsible AI frameworks &amp; model risk management</t>
  </si>
  <si>
    <t>Structured process for assessing AI risk before deployment</t>
  </si>
  <si>
    <t>Data privacy &amp; PII redaction in AI pipelines</t>
  </si>
  <si>
    <t>Keeping sensitive data out of prompts, logs and outputs</t>
  </si>
  <si>
    <t>BFSI / Healthcare</t>
  </si>
  <si>
    <t>AI regulation compliance (EU AI Act, sector rules)</t>
  </si>
  <si>
    <t>Staying ahead of emerging AI compliance requirements</t>
  </si>
  <si>
    <t>Model / IP licensing &amp; usage-rights tracking</t>
  </si>
  <si>
    <t>Understanding what you can and can't do with each model</t>
  </si>
  <si>
    <t>Access control &amp; audit logging for AI systems</t>
  </si>
  <si>
    <t>Who can use which model/agent, and what it did</t>
  </si>
  <si>
    <t>Bias &amp; fairness testing for GenAI outputs</t>
  </si>
  <si>
    <t>Checking model outputs for skewed or unfair behaviour</t>
  </si>
  <si>
    <t>Third-party / vendor AI risk assessment</t>
  </si>
  <si>
    <t>Evaluating GenAI vendors and dependencies before adoption</t>
  </si>
  <si>
    <t>Developer Tools &amp; Copilots</t>
  </si>
  <si>
    <t>AI coding copilots (GitHub Copilot, Claude Code, Cursor, Windsurf)</t>
  </si>
  <si>
    <t>AI-assisted software development inside the IDE</t>
  </si>
  <si>
    <t>AI-powered code review &amp; static analysis</t>
  </si>
  <si>
    <t>Automated review and security scanning with GenAI</t>
  </si>
  <si>
    <t>Low-code/no-code AI builders (n8n, Retool AI, Bubble AI)</t>
  </si>
  <si>
    <t>Building AI-powered apps with minimal coding</t>
  </si>
  <si>
    <t>AI test generation &amp; QA automation</t>
  </si>
  <si>
    <t>Generating and maintaining test suites with GenAI</t>
  </si>
  <si>
    <t>Internal developer platforms with embedded AI</t>
  </si>
  <si>
    <t>Company-wide dev tooling with AI baked in</t>
  </si>
  <si>
    <t>AI-assisted documentation generation</t>
  </si>
  <si>
    <t>Auto-generating and maintaining technical docs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</si>
</sst>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charset val="1"/>
    </font>
    <font>
      <sz val="10"/>
      <name val="Arial"/>
      <family val="2"/>
    </font>
    <font>
      <b/>
      <sz val="10"/>
      <name val="Arial"/>
      <family val="2"/>
    </font>
    <font>
      <b/>
      <sz val="10"/>
      <color rgb="FFFFFFFF"/>
      <name val="Arial"/>
      <family val="2"/>
    </font>
    <font>
      <b/>
      <sz val="13"/>
      <color rgb="FFFFFFFF"/>
      <name val="Arial"/>
      <family val="2"/>
    </font>
    <font>
      <i/>
      <sz val="9"/>
      <color rgb="FF595959"/>
      <name val="Arial"/>
      <family val="2"/>
    </font>
    <font>
      <i/>
      <sz val="9"/>
      <name val="Arial"/>
      <family val="2"/>
    </font>
    <font>
      <u/>
      <sz val="11"/>
      <color theme="10"/>
      <name val="Calibri"/>
      <family val="2"/>
      <charset val="1"/>
    </font>
    <font>
      <b/>
      <sz val="11"/>
      <color rgb="FFFFFFFF"/>
      <name val="Aptos"/>
      <family val="2"/>
    </font>
    <font>
      <sz val="11"/>
      <color theme="1"/>
      <name val="Aptos"/>
      <family val="2"/>
    </font>
    <font>
      <i/>
      <sz val="11"/>
      <name val="Aptos"/>
      <family val="2"/>
    </font>
    <font>
      <b/>
      <sz val="11"/>
      <name val="Aptos"/>
      <family val="2"/>
    </font>
    <font>
      <sz val="11"/>
      <name val="Aptos"/>
      <family val="2"/>
    </font>
    <font>
      <u/>
      <sz val="11"/>
      <color theme="10"/>
      <name val="Aptos"/>
      <family val="2"/>
    </font>
    <font>
      <sz val="11"/>
      <name val="Aptos"/>
    </font>
  </fonts>
  <fills count="4">
    <fill>
      <patternFill patternType="none"/>
    </fill>
    <fill>
      <patternFill patternType="gray125"/>
    </fill>
    <fill>
      <patternFill patternType="solid">
        <fgColor rgb="FFF7F7F7"/>
        <bgColor rgb="FFF2F2F2"/>
      </patternFill>
    </fill>
    <fill>
      <patternFill patternType="solid">
        <fgColor rgb="FF384B5C"/>
        <bgColor rgb="FF1F4E5F"/>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C9C9C9"/>
      </left>
      <right style="thin">
        <color rgb="FFC9C9C9"/>
      </right>
      <top style="thin">
        <color rgb="FFC9C9C9"/>
      </top>
      <bottom style="thin">
        <color rgb="FFC9C9C9"/>
      </bottom>
      <diagonal/>
    </border>
    <border>
      <left style="thin">
        <color rgb="FF000000"/>
      </left>
      <right style="thin">
        <color rgb="FF000000"/>
      </right>
      <top style="thin">
        <color rgb="FF000000"/>
      </top>
      <bottom style="thin">
        <color rgb="FF000000"/>
      </bottom>
      <diagonal/>
    </border>
    <border>
      <left style="thin">
        <color rgb="FFC9C9C9"/>
      </left>
      <right style="thin">
        <color rgb="FFC9C9C9"/>
      </right>
      <top/>
      <bottom/>
      <diagonal/>
    </border>
  </borders>
  <cellStyleXfs count="2">
    <xf numFmtId="0" fontId="0" fillId="0" borderId="0"/>
    <xf numFmtId="0" fontId="7" fillId="0" borderId="0" applyNumberFormat="0" applyFill="0" applyBorder="0" applyAlignment="0" applyProtection="0"/>
  </cellStyleXfs>
  <cellXfs count="51">
    <xf numFmtId="0" fontId="0" fillId="0" borderId="0" xfId="0"/>
    <xf numFmtId="0" fontId="2" fillId="0" borderId="0" xfId="0" applyFont="1"/>
    <xf numFmtId="0" fontId="2" fillId="0" borderId="2" xfId="0" applyFont="1" applyBorder="1" applyAlignment="1">
      <alignment horizontal="left" vertical="top" wrapText="1"/>
    </xf>
    <xf numFmtId="0" fontId="1" fillId="0" borderId="2" xfId="0" applyFont="1" applyBorder="1" applyAlignment="1">
      <alignment horizontal="left" vertical="top" wrapText="1"/>
    </xf>
    <xf numFmtId="0" fontId="3" fillId="3" borderId="2" xfId="0" applyFont="1" applyFill="1" applyBorder="1" applyAlignment="1">
      <alignment horizontal="center" vertical="center" wrapText="1"/>
    </xf>
    <xf numFmtId="0" fontId="1" fillId="0" borderId="2"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2" xfId="0" applyFont="1" applyFill="1" applyBorder="1" applyAlignment="1">
      <alignment horizontal="left" vertical="top" wrapText="1"/>
    </xf>
    <xf numFmtId="0" fontId="2" fillId="0" borderId="1" xfId="0" applyFont="1" applyBorder="1" applyAlignment="1">
      <alignment horizontal="left" vertical="top" wrapText="1"/>
    </xf>
    <xf numFmtId="0" fontId="2" fillId="2" borderId="2" xfId="0" applyFont="1" applyFill="1" applyBorder="1" applyAlignment="1">
      <alignment horizontal="left" vertical="top" wrapText="1"/>
    </xf>
    <xf numFmtId="0" fontId="5" fillId="0" borderId="0" xfId="0" applyFont="1" applyAlignment="1">
      <alignment horizontal="left" vertical="top" wrapText="1"/>
    </xf>
    <xf numFmtId="0" fontId="0" fillId="0" borderId="0" xfId="0" applyAlignment="1">
      <alignment horizontal="center" vertical="center" wrapText="1"/>
    </xf>
    <xf numFmtId="0" fontId="7" fillId="0" borderId="0" xfId="1" applyAlignment="1">
      <alignment wrapText="1"/>
    </xf>
    <xf numFmtId="0" fontId="0" fillId="0" borderId="3" xfId="0" applyBorder="1" applyAlignment="1">
      <alignment horizontal="center" vertical="center" wrapText="1"/>
    </xf>
    <xf numFmtId="0" fontId="7" fillId="0" borderId="3" xfId="1" applyBorder="1" applyAlignment="1">
      <alignment horizontal="center" vertical="center" wrapText="1"/>
    </xf>
    <xf numFmtId="0" fontId="7" fillId="0" borderId="3" xfId="1" applyBorder="1" applyAlignment="1">
      <alignment horizontal="center" vertical="center"/>
    </xf>
    <xf numFmtId="0" fontId="1" fillId="2" borderId="4" xfId="0" applyFont="1" applyFill="1" applyBorder="1" applyAlignment="1">
      <alignment horizontal="center" vertical="center" wrapText="1"/>
    </xf>
    <xf numFmtId="0" fontId="1" fillId="0" borderId="4" xfId="0" applyFont="1" applyBorder="1" applyAlignment="1">
      <alignment horizontal="left" vertical="top" wrapText="1"/>
    </xf>
    <xf numFmtId="0" fontId="9" fillId="0" borderId="3" xfId="0" applyFont="1" applyBorder="1"/>
    <xf numFmtId="0" fontId="8" fillId="3" borderId="3" xfId="0" applyFont="1" applyFill="1" applyBorder="1" applyAlignment="1">
      <alignment horizontal="center" vertical="center" wrapText="1"/>
    </xf>
    <xf numFmtId="0" fontId="11" fillId="0" borderId="3" xfId="0" applyFont="1" applyBorder="1" applyAlignment="1">
      <alignment horizontal="left" vertical="top" wrapText="1"/>
    </xf>
    <xf numFmtId="0" fontId="12" fillId="0" borderId="3" xfId="0" applyFont="1" applyBorder="1" applyAlignment="1">
      <alignment horizontal="center" vertical="center" wrapText="1"/>
    </xf>
    <xf numFmtId="9" fontId="12" fillId="0" borderId="3" xfId="0" applyNumberFormat="1" applyFont="1" applyBorder="1" applyAlignment="1">
      <alignment horizontal="center" vertical="center" wrapText="1"/>
    </xf>
    <xf numFmtId="0" fontId="11" fillId="2" borderId="3" xfId="0" applyFont="1" applyFill="1" applyBorder="1" applyAlignment="1">
      <alignment horizontal="left" vertical="top" wrapText="1"/>
    </xf>
    <xf numFmtId="0" fontId="11" fillId="2" borderId="3" xfId="0" applyFont="1" applyFill="1" applyBorder="1" applyAlignment="1">
      <alignment horizontal="center" vertical="center" wrapText="1"/>
    </xf>
    <xf numFmtId="9" fontId="11" fillId="2" borderId="3" xfId="0" applyNumberFormat="1" applyFont="1" applyFill="1" applyBorder="1" applyAlignment="1">
      <alignment horizontal="center" vertical="center" wrapText="1"/>
    </xf>
    <xf numFmtId="0" fontId="9" fillId="0" borderId="3" xfId="0" applyFont="1" applyBorder="1" applyAlignment="1">
      <alignment horizontal="center" vertical="center" wrapText="1"/>
    </xf>
    <xf numFmtId="14" fontId="12" fillId="0" borderId="3" xfId="0" applyNumberFormat="1" applyFont="1" applyBorder="1" applyAlignment="1">
      <alignment horizontal="center" vertical="center" wrapText="1"/>
    </xf>
    <xf numFmtId="0" fontId="13" fillId="0" borderId="3" xfId="1" applyFont="1" applyBorder="1" applyAlignment="1">
      <alignment horizontal="center" vertical="center" wrapText="1"/>
    </xf>
    <xf numFmtId="0" fontId="9" fillId="0" borderId="3" xfId="0" applyFont="1" applyBorder="1" applyAlignment="1">
      <alignment horizontal="center" vertical="center"/>
    </xf>
    <xf numFmtId="0" fontId="13" fillId="0" borderId="3" xfId="1" applyFont="1" applyBorder="1"/>
    <xf numFmtId="0" fontId="13" fillId="0" borderId="3" xfId="1" applyFont="1" applyBorder="1" applyAlignment="1">
      <alignment wrapText="1"/>
    </xf>
    <xf numFmtId="14" fontId="9" fillId="0" borderId="3" xfId="0" applyNumberFormat="1" applyFont="1" applyBorder="1" applyAlignment="1">
      <alignment vertical="center" wrapText="1"/>
    </xf>
    <xf numFmtId="0" fontId="9" fillId="0" borderId="3" xfId="0" applyFont="1" applyBorder="1" applyAlignment="1">
      <alignment vertical="center" wrapText="1"/>
    </xf>
    <xf numFmtId="0" fontId="13" fillId="0" borderId="3" xfId="1" applyFont="1" applyBorder="1" applyAlignment="1">
      <alignment vertical="center" wrapText="1"/>
    </xf>
    <xf numFmtId="14" fontId="0" fillId="0" borderId="3" xfId="0" applyNumberFormat="1" applyBorder="1" applyAlignment="1">
      <alignment vertical="center" wrapText="1"/>
    </xf>
    <xf numFmtId="0" fontId="0" fillId="0" borderId="3" xfId="0" applyBorder="1" applyAlignment="1">
      <alignment vertical="center" wrapText="1"/>
    </xf>
    <xf numFmtId="0" fontId="7" fillId="0" borderId="3" xfId="1" applyBorder="1" applyAlignment="1">
      <alignment vertical="center" wrapText="1"/>
    </xf>
    <xf numFmtId="14" fontId="0" fillId="0" borderId="3" xfId="0" applyNumberFormat="1" applyBorder="1" applyAlignment="1">
      <alignment horizontal="center" vertical="center" wrapText="1"/>
    </xf>
    <xf numFmtId="0" fontId="14" fillId="0" borderId="3" xfId="0" applyFont="1" applyBorder="1" applyAlignment="1">
      <alignment horizontal="center" vertical="center" wrapText="1"/>
    </xf>
    <xf numFmtId="0" fontId="8" fillId="3" borderId="3" xfId="0" applyFont="1" applyFill="1" applyBorder="1" applyAlignment="1">
      <alignment horizontal="left" vertical="center" indent="1"/>
    </xf>
    <xf numFmtId="0" fontId="10" fillId="0" borderId="3" xfId="0" applyFont="1" applyBorder="1" applyAlignment="1">
      <alignment horizontal="left" vertical="top" wrapText="1"/>
    </xf>
    <xf numFmtId="0" fontId="8" fillId="3" borderId="3" xfId="0" applyFont="1" applyFill="1" applyBorder="1" applyAlignment="1">
      <alignment horizontal="center" vertical="center" wrapText="1"/>
    </xf>
    <xf numFmtId="0" fontId="1" fillId="0" borderId="0" xfId="0" applyFont="1" applyAlignment="1">
      <alignment horizontal="left" vertical="top" wrapText="1"/>
    </xf>
    <xf numFmtId="0" fontId="4" fillId="3" borderId="0" xfId="0" applyFont="1" applyFill="1" applyAlignment="1">
      <alignment horizontal="left" vertical="center" indent="1"/>
    </xf>
    <xf numFmtId="0" fontId="1" fillId="0" borderId="2" xfId="0" applyFont="1" applyBorder="1" applyAlignment="1">
      <alignment horizontal="left" vertical="top" wrapText="1"/>
    </xf>
    <xf numFmtId="0" fontId="4" fillId="3" borderId="1" xfId="0" applyFont="1" applyFill="1" applyBorder="1" applyAlignment="1">
      <alignment horizontal="center" vertical="center"/>
    </xf>
    <xf numFmtId="0" fontId="1" fillId="0" borderId="1" xfId="0" applyFont="1" applyBorder="1" applyAlignment="1">
      <alignment horizontal="center" vertical="top" wrapText="1"/>
    </xf>
    <xf numFmtId="0" fontId="1" fillId="0" borderId="1" xfId="0" applyFont="1" applyBorder="1" applyAlignment="1">
      <alignment horizontal="left" vertical="top" wrapText="1"/>
    </xf>
    <xf numFmtId="0" fontId="6" fillId="0" borderId="0" xfId="0" applyFont="1" applyAlignment="1">
      <alignment horizontal="left" vertical="top" wrapText="1"/>
    </xf>
    <xf numFmtId="0" fontId="8" fillId="3" borderId="3" xfId="0" applyFont="1" applyFill="1" applyBorder="1" applyAlignment="1"/>
  </cellXfs>
  <cellStyles count="2">
    <cellStyle name="Hyperlink" xfId="1" builtinId="8"/>
    <cellStyle name="Normal" xfId="0" builtinId="0"/>
  </cellStyles>
  <dxfs count="8">
    <dxf>
      <font>
        <b/>
        <sz val="10"/>
        <color rgb="FF990000"/>
        <name val="Arial"/>
        <charset val="1"/>
      </font>
      <fill>
        <patternFill>
          <bgColor rgb="FFF4CCCC"/>
        </patternFill>
      </fill>
    </dxf>
    <dxf>
      <font>
        <b/>
        <sz val="10"/>
        <color rgb="FF274E13"/>
        <name val="Arial"/>
        <charset val="1"/>
      </font>
      <fill>
        <patternFill>
          <bgColor rgb="FFD9EAD3"/>
        </patternFill>
      </fill>
    </dxf>
    <dxf>
      <font>
        <b/>
        <sz val="10"/>
        <color rgb="FF9C6500"/>
        <name val="Arial"/>
        <charset val="1"/>
      </font>
      <fill>
        <patternFill>
          <bgColor rgb="FFFFF2CC"/>
        </patternFill>
      </fill>
    </dxf>
    <dxf>
      <font>
        <b/>
        <sz val="10"/>
        <color rgb="FF595959"/>
        <name val="Arial"/>
        <charset val="1"/>
      </font>
      <fill>
        <patternFill>
          <bgColor rgb="FFF2F2F2"/>
        </patternFill>
      </fill>
    </dxf>
    <dxf>
      <font>
        <b/>
        <sz val="10"/>
        <color rgb="FF9C6500"/>
        <name val="Arial"/>
        <charset val="1"/>
      </font>
      <fill>
        <patternFill>
          <bgColor rgb="FFFFF2CC"/>
        </patternFill>
      </fill>
    </dxf>
    <dxf>
      <font>
        <b/>
        <sz val="10"/>
        <color rgb="FF595959"/>
        <name val="Arial"/>
        <charset val="1"/>
      </font>
      <fill>
        <patternFill>
          <bgColor rgb="FFF2F2F2"/>
        </patternFill>
      </fill>
    </dxf>
    <dxf>
      <font>
        <b/>
        <sz val="10"/>
        <color rgb="FF1F4E5F"/>
        <name val="Arial"/>
        <charset val="1"/>
      </font>
      <fill>
        <patternFill>
          <bgColor rgb="FFD0E4F5"/>
        </patternFill>
      </fill>
    </dxf>
    <dxf>
      <font>
        <b/>
        <sz val="10"/>
        <color rgb="FF274E13"/>
        <name val="Arial"/>
        <charset val="1"/>
      </font>
      <fill>
        <patternFill>
          <bgColor rgb="FFD9EAD3"/>
        </patternFill>
      </fill>
    </dxf>
  </dxfs>
  <tableStyles count="0" defaultTableStyle="TableStyleMedium2" defaultPivotStyle="PivotStyleLight16"/>
  <colors>
    <indexedColors>
      <rgbColor rgb="FF000000"/>
      <rgbColor rgb="FFFFFFFF"/>
      <rgbColor rgb="FFFF0000"/>
      <rgbColor rgb="FF00FF00"/>
      <rgbColor rgb="FF0000FF"/>
      <rgbColor rgb="FFE2EFDA"/>
      <rgbColor rgb="FFFF00FF"/>
      <rgbColor rgb="FF00FFFF"/>
      <rgbColor rgb="FF990000"/>
      <rgbColor rgb="FF2E5E3E"/>
      <rgbColor rgb="FF000080"/>
      <rgbColor rgb="FF9C6500"/>
      <rgbColor rgb="FF800080"/>
      <rgbColor rgb="FF2F6E8E"/>
      <rgbColor rgb="FFB7B7B7"/>
      <rgbColor rgb="FF808080"/>
      <rgbColor rgb="FFA4D3E3"/>
      <rgbColor rgb="FF993366"/>
      <rgbColor rgb="FFFFF2CC"/>
      <rgbColor rgb="FFDCEDF3"/>
      <rgbColor rgb="FF660066"/>
      <rgbColor rgb="FFFF8080"/>
      <rgbColor rgb="FF0066CC"/>
      <rgbColor rgb="FFC0E0EB"/>
      <rgbColor rgb="FF000080"/>
      <rgbColor rgb="FFFF00FF"/>
      <rgbColor rgb="FFF2F2F2"/>
      <rgbColor rgb="FF00FFFF"/>
      <rgbColor rgb="FF800080"/>
      <rgbColor rgb="FF800000"/>
      <rgbColor rgb="FF008080"/>
      <rgbColor rgb="FF0000FF"/>
      <rgbColor rgb="FF00CCFF"/>
      <rgbColor rgb="FFDDEBF7"/>
      <rgbColor rgb="FFD9EAD3"/>
      <rgbColor rgb="FFFCE4D6"/>
      <rgbColor rgb="FF96CDDF"/>
      <rgbColor rgb="FFCEE6EF"/>
      <rgbColor rgb="FFB2DAE7"/>
      <rgbColor rgb="FFF4CCCC"/>
      <rgbColor rgb="FF3366FF"/>
      <rgbColor rgb="FF33CCCC"/>
      <rgbColor rgb="FF99CC00"/>
      <rgbColor rgb="FFEAF3F7"/>
      <rgbColor rgb="FFFF9900"/>
      <rgbColor rgb="FFFF6600"/>
      <rgbColor rgb="FF595959"/>
      <rgbColor rgb="FFF7F7F7"/>
      <rgbColor rgb="FF1F4E5F"/>
      <rgbColor rgb="FF339966"/>
      <rgbColor rgb="FF003300"/>
      <rgbColor rgb="FF274E13"/>
      <rgbColor rgb="FF7A4A1E"/>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8" Type="http://schemas.openxmlformats.org/officeDocument/2006/relationships/hyperlink" Target="https://r2t2.ai/" TargetMode="External"/><Relationship Id="rId13" Type="http://schemas.openxmlformats.org/officeDocument/2006/relationships/hyperlink" Target="https://arxiv.org/abs/2609.24972" TargetMode="External"/><Relationship Id="rId18" Type="http://schemas.openxmlformats.org/officeDocument/2006/relationships/hyperlink" Target="https://arxiv.org/abs/2609.29875" TargetMode="External"/><Relationship Id="rId3" Type="http://schemas.openxmlformats.org/officeDocument/2006/relationships/hyperlink" Target="https://www.bcg.com/publications/2025/a-faster-path-to-scaling-genai-in-banking-compliance" TargetMode="External"/><Relationship Id="rId21" Type="http://schemas.openxmlformats.org/officeDocument/2006/relationships/hyperlink" Target="https://blog.talosintelligence.com/introducing-cairn-frontier-tracking-for-ai-integrated-malware/" TargetMode="External"/><Relationship Id="rId7" Type="http://schemas.openxmlformats.org/officeDocument/2006/relationships/hyperlink" Target="https://agentexecutor.io/" TargetMode="External"/><Relationship Id="rId12" Type="http://schemas.openxmlformats.org/officeDocument/2006/relationships/hyperlink" Target="https://github.com/enclawed/omcp" TargetMode="External"/><Relationship Id="rId17" Type="http://schemas.openxmlformats.org/officeDocument/2006/relationships/hyperlink" Target="https://lastexam.ai/blog/hle-diamond" TargetMode="External"/><Relationship Id="rId2" Type="http://schemas.openxmlformats.org/officeDocument/2006/relationships/hyperlink" Target="https://typesafe.ai/blog/introducing-system-one-models-and-jev" TargetMode="External"/><Relationship Id="rId16" Type="http://schemas.openxmlformats.org/officeDocument/2006/relationships/hyperlink" Target="https://techafricanews.com/2026/09/24/alibaba-full-stack-ai-strategy-qwen-chips-agentic-cloud/" TargetMode="External"/><Relationship Id="rId20" Type="http://schemas.openxmlformats.org/officeDocument/2006/relationships/hyperlink" Target="https://mimo.mi.com/docs/en-US/news/latest/v2-6" TargetMode="External"/><Relationship Id="rId1" Type="http://schemas.openxmlformats.org/officeDocument/2006/relationships/hyperlink" Target="https://github.com/rapiddweller/datamimic" TargetMode="External"/><Relationship Id="rId6" Type="http://schemas.openxmlformats.org/officeDocument/2006/relationships/hyperlink" Target="https://qwen.ai/blog?id=qwen3.8-omni-flash" TargetMode="External"/><Relationship Id="rId11" Type="http://schemas.openxmlformats.org/officeDocument/2006/relationships/hyperlink" Target="https://strandsagents.com/blog/introducing-strands-harness/" TargetMode="External"/><Relationship Id="rId5" Type="http://schemas.openxmlformats.org/officeDocument/2006/relationships/hyperlink" Target="https://bend-lang.com/" TargetMode="External"/><Relationship Id="rId15" Type="http://schemas.openxmlformats.org/officeDocument/2006/relationships/hyperlink" Target="https://arxiv.org/abs/2609.24967" TargetMode="External"/><Relationship Id="rId10" Type="http://schemas.openxmlformats.org/officeDocument/2006/relationships/hyperlink" Target="https://www.dream-rsi.com/" TargetMode="External"/><Relationship Id="rId19" Type="http://schemas.openxmlformats.org/officeDocument/2006/relationships/hyperlink" Target="https://raunak-11.github.io/bend-explainer/v4/" TargetMode="External"/><Relationship Id="rId4" Type="http://schemas.openxmlformats.org/officeDocument/2006/relationships/hyperlink" Target="https://blog.google/innovation-and-ai/models-and-research/gemini-models/gemini-3-8-live-gemini-3-8-live-extended-thinking/" TargetMode="External"/><Relationship Id="rId9" Type="http://schemas.openxmlformats.org/officeDocument/2006/relationships/hyperlink" Target="https://github.com/aws-samples/sample-agentic-value-accelerator" TargetMode="External"/><Relationship Id="rId14" Type="http://schemas.openxmlformats.org/officeDocument/2006/relationships/hyperlink" Target="https://arxiv.org/abs/2609.18182" TargetMode="External"/><Relationship Id="rId22" Type="http://schemas.openxmlformats.org/officeDocument/2006/relationships/hyperlink" Target="https://huggingface.co/collections/OmniJev/oneje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C5E33-D901-4E43-A0D7-15553BE8DF4E}">
  <dimension ref="A1:D23"/>
  <sheetViews>
    <sheetView showGridLines="0" topLeftCell="A9" zoomScaleNormal="100" workbookViewId="0">
      <selection activeCell="C20" sqref="C20"/>
    </sheetView>
  </sheetViews>
  <sheetFormatPr defaultColWidth="8.7109375" defaultRowHeight="15"/>
  <cols>
    <col min="1" max="1" width="16.140625" customWidth="1"/>
    <col min="2" max="2" width="32" customWidth="1"/>
    <col min="3" max="3" width="46" customWidth="1"/>
    <col min="4" max="4" width="20" customWidth="1"/>
  </cols>
  <sheetData>
    <row r="1" spans="1:4" ht="24" customHeight="1">
      <c r="A1" s="44" t="s">
        <v>0</v>
      </c>
      <c r="B1" s="44"/>
      <c r="C1" s="44"/>
      <c r="D1" s="44"/>
    </row>
    <row r="2" spans="1:4" ht="55.5" customHeight="1">
      <c r="A2" s="2" t="s">
        <v>1</v>
      </c>
      <c r="B2" s="45" t="s">
        <v>2</v>
      </c>
      <c r="C2" s="45"/>
      <c r="D2" s="45"/>
    </row>
    <row r="3" spans="1:4" ht="39.75" customHeight="1">
      <c r="A3" s="2" t="s">
        <v>3</v>
      </c>
      <c r="B3" s="45" t="s">
        <v>4</v>
      </c>
      <c r="C3" s="45"/>
      <c r="D3" s="45"/>
    </row>
    <row r="4" spans="1:4" ht="6" customHeight="1"/>
    <row r="5" spans="1:4" ht="18" customHeight="1">
      <c r="A5" s="4" t="s">
        <v>5</v>
      </c>
      <c r="B5" s="4" t="s">
        <v>6</v>
      </c>
      <c r="C5" s="4" t="s">
        <v>3</v>
      </c>
    </row>
    <row r="6" spans="1:4" ht="57.75" customHeight="1">
      <c r="A6" s="2" t="s">
        <v>7</v>
      </c>
      <c r="B6" s="3" t="s">
        <v>8</v>
      </c>
      <c r="C6" s="3" t="s">
        <v>9</v>
      </c>
    </row>
    <row r="7" spans="1:4" ht="39.75" customHeight="1">
      <c r="A7" s="2" t="s">
        <v>10</v>
      </c>
      <c r="B7" s="3" t="s">
        <v>11</v>
      </c>
      <c r="C7" s="3" t="s">
        <v>12</v>
      </c>
    </row>
    <row r="9" spans="1:4" ht="18" customHeight="1">
      <c r="A9" s="4" t="s">
        <v>13</v>
      </c>
      <c r="B9" s="4" t="s">
        <v>14</v>
      </c>
      <c r="C9" s="4" t="s">
        <v>15</v>
      </c>
      <c r="D9" s="4" t="s">
        <v>16</v>
      </c>
    </row>
    <row r="10" spans="1:4" ht="18" customHeight="1">
      <c r="A10" s="5">
        <v>1</v>
      </c>
      <c r="B10" s="3" t="s">
        <v>17</v>
      </c>
      <c r="C10" s="3" t="s">
        <v>18</v>
      </c>
      <c r="D10" s="5" t="s">
        <v>19</v>
      </c>
    </row>
    <row r="11" spans="1:4" ht="18" customHeight="1">
      <c r="A11" s="6">
        <v>2</v>
      </c>
      <c r="B11" s="7" t="s">
        <v>20</v>
      </c>
      <c r="C11" s="7" t="s">
        <v>21</v>
      </c>
      <c r="D11" s="6" t="s">
        <v>19</v>
      </c>
    </row>
    <row r="12" spans="1:4" ht="18" customHeight="1">
      <c r="A12" s="5">
        <v>3</v>
      </c>
      <c r="B12" s="3" t="s">
        <v>22</v>
      </c>
      <c r="C12" s="3" t="s">
        <v>23</v>
      </c>
      <c r="D12" s="5" t="s">
        <v>19</v>
      </c>
    </row>
    <row r="13" spans="1:4" ht="18" customHeight="1">
      <c r="A13" s="6">
        <v>4</v>
      </c>
      <c r="B13" s="7" t="s">
        <v>24</v>
      </c>
      <c r="C13" s="7" t="s">
        <v>25</v>
      </c>
      <c r="D13" s="6" t="s">
        <v>19</v>
      </c>
    </row>
    <row r="14" spans="1:4" ht="18" customHeight="1">
      <c r="A14" s="5">
        <v>5</v>
      </c>
      <c r="B14" s="7" t="s">
        <v>26</v>
      </c>
      <c r="C14" s="7" t="s">
        <v>25</v>
      </c>
      <c r="D14" s="6" t="s">
        <v>27</v>
      </c>
    </row>
    <row r="15" spans="1:4" ht="18" customHeight="1">
      <c r="A15" s="6">
        <v>6</v>
      </c>
      <c r="B15" s="3" t="s">
        <v>28</v>
      </c>
      <c r="C15" s="3" t="s">
        <v>25</v>
      </c>
      <c r="D15" s="6" t="s">
        <v>27</v>
      </c>
    </row>
    <row r="16" spans="1:4" ht="18" customHeight="1">
      <c r="A16" s="5">
        <v>7</v>
      </c>
      <c r="B16" s="3" t="s">
        <v>29</v>
      </c>
      <c r="C16" s="3" t="s">
        <v>25</v>
      </c>
      <c r="D16" s="5" t="s">
        <v>27</v>
      </c>
    </row>
    <row r="17" spans="1:4">
      <c r="A17" s="16">
        <v>8</v>
      </c>
      <c r="B17" s="17" t="s">
        <v>30</v>
      </c>
      <c r="C17" s="17" t="s">
        <v>21</v>
      </c>
      <c r="D17" s="16" t="s">
        <v>19</v>
      </c>
    </row>
    <row r="18" spans="1:4" ht="14.45" customHeight="1">
      <c r="A18" s="10" t="s">
        <v>31</v>
      </c>
      <c r="B18" s="10"/>
      <c r="C18" s="10"/>
      <c r="D18" s="10"/>
    </row>
    <row r="20" spans="1:4">
      <c r="A20" s="1" t="s">
        <v>32</v>
      </c>
      <c r="B20" s="1"/>
      <c r="C20" s="1"/>
      <c r="D20" s="1"/>
    </row>
    <row r="21" spans="1:4" ht="15.75" customHeight="1">
      <c r="A21" s="1" t="s">
        <v>33</v>
      </c>
      <c r="B21" s="43" t="s">
        <v>34</v>
      </c>
      <c r="C21" s="43"/>
      <c r="D21" s="43"/>
    </row>
    <row r="22" spans="1:4" ht="15.75" customHeight="1">
      <c r="A22" s="1" t="s">
        <v>35</v>
      </c>
      <c r="B22" s="43" t="s">
        <v>36</v>
      </c>
      <c r="C22" s="43"/>
      <c r="D22" s="43"/>
    </row>
    <row r="23" spans="1:4" ht="15.75" customHeight="1">
      <c r="A23" s="1" t="s">
        <v>37</v>
      </c>
      <c r="B23" s="43" t="s">
        <v>38</v>
      </c>
      <c r="C23" s="43"/>
      <c r="D23" s="43"/>
    </row>
  </sheetData>
  <mergeCells count="6">
    <mergeCell ref="B22:D22"/>
    <mergeCell ref="B23:D23"/>
    <mergeCell ref="A1:D1"/>
    <mergeCell ref="B2:D2"/>
    <mergeCell ref="B3:D3"/>
    <mergeCell ref="B21:D2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06C2A-68C5-4BED-9314-7191F56B24F5}">
  <dimension ref="A1:C11"/>
  <sheetViews>
    <sheetView showGridLines="0" topLeftCell="A6" zoomScaleNormal="100" workbookViewId="0">
      <selection activeCell="B11" sqref="B11"/>
    </sheetView>
  </sheetViews>
  <sheetFormatPr defaultColWidth="8.7109375" defaultRowHeight="15"/>
  <cols>
    <col min="1" max="1" width="18.85546875" customWidth="1"/>
    <col min="2" max="3" width="48" customWidth="1"/>
  </cols>
  <sheetData>
    <row r="1" spans="1:3" ht="24" customHeight="1">
      <c r="A1" s="44" t="s">
        <v>39</v>
      </c>
      <c r="B1" s="44"/>
      <c r="C1" s="44"/>
    </row>
    <row r="2" spans="1:3" ht="39.75" customHeight="1">
      <c r="A2" s="2" t="s">
        <v>40</v>
      </c>
      <c r="B2" s="45" t="s">
        <v>41</v>
      </c>
      <c r="C2" s="45"/>
    </row>
    <row r="3" spans="1:3" ht="39.75" customHeight="1">
      <c r="A3" s="2" t="s">
        <v>42</v>
      </c>
      <c r="B3" s="45" t="s">
        <v>43</v>
      </c>
      <c r="C3" s="45"/>
    </row>
    <row r="4" spans="1:3" ht="49.5" customHeight="1">
      <c r="A4" s="2" t="s">
        <v>44</v>
      </c>
      <c r="B4" s="45" t="s">
        <v>45</v>
      </c>
      <c r="C4" s="45"/>
    </row>
    <row r="5" spans="1:3" ht="6" customHeight="1"/>
    <row r="6" spans="1:3" ht="18" customHeight="1">
      <c r="A6" s="4" t="s">
        <v>46</v>
      </c>
      <c r="B6" s="4" t="s">
        <v>7</v>
      </c>
      <c r="C6" s="4" t="s">
        <v>10</v>
      </c>
    </row>
    <row r="7" spans="1:3" ht="42" customHeight="1">
      <c r="A7" s="2" t="s">
        <v>47</v>
      </c>
      <c r="B7" s="3" t="s">
        <v>48</v>
      </c>
      <c r="C7" s="3" t="s">
        <v>49</v>
      </c>
    </row>
    <row r="8" spans="1:3" ht="42" customHeight="1">
      <c r="A8" s="9" t="s">
        <v>50</v>
      </c>
      <c r="B8" s="7" t="s">
        <v>51</v>
      </c>
      <c r="C8" s="7" t="s">
        <v>52</v>
      </c>
    </row>
    <row r="9" spans="1:3" ht="42" customHeight="1">
      <c r="A9" s="2" t="s">
        <v>53</v>
      </c>
      <c r="B9" s="3" t="s">
        <v>54</v>
      </c>
      <c r="C9" s="3" t="s">
        <v>55</v>
      </c>
    </row>
    <row r="10" spans="1:3" ht="42" customHeight="1">
      <c r="A10" s="9" t="s">
        <v>56</v>
      </c>
      <c r="B10" s="7" t="s">
        <v>57</v>
      </c>
      <c r="C10" s="7" t="s">
        <v>58</v>
      </c>
    </row>
    <row r="11" spans="1:3" ht="42" customHeight="1">
      <c r="A11" s="2" t="s">
        <v>59</v>
      </c>
      <c r="B11" s="3" t="s">
        <v>60</v>
      </c>
      <c r="C11" s="3" t="s">
        <v>61</v>
      </c>
    </row>
  </sheetData>
  <mergeCells count="4">
    <mergeCell ref="A1:C1"/>
    <mergeCell ref="B2:C2"/>
    <mergeCell ref="B3:C3"/>
    <mergeCell ref="B4:C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E49DA-50F0-439D-89AA-4230DF9B8A1A}">
  <dimension ref="A1:H21"/>
  <sheetViews>
    <sheetView showGridLines="0" zoomScaleNormal="100" workbookViewId="0">
      <selection activeCell="B9" sqref="B9"/>
    </sheetView>
  </sheetViews>
  <sheetFormatPr defaultColWidth="8.7109375" defaultRowHeight="15"/>
  <cols>
    <col min="1" max="1" width="42" customWidth="1"/>
    <col min="2" max="2" width="48.7109375" customWidth="1"/>
    <col min="3" max="3" width="31.28515625" customWidth="1"/>
    <col min="4" max="4" width="20" customWidth="1"/>
  </cols>
  <sheetData>
    <row r="1" spans="1:8" ht="24" customHeight="1">
      <c r="A1" s="46" t="s">
        <v>62</v>
      </c>
      <c r="B1" s="46"/>
      <c r="C1" s="46"/>
      <c r="D1" s="46"/>
      <c r="E1" s="46"/>
      <c r="F1" s="46"/>
      <c r="G1" s="46"/>
      <c r="H1" s="46"/>
    </row>
    <row r="2" spans="1:8" ht="15" customHeight="1">
      <c r="A2" s="8" t="s">
        <v>6</v>
      </c>
      <c r="B2" s="47" t="s">
        <v>8</v>
      </c>
      <c r="C2" s="47"/>
      <c r="D2" s="47"/>
      <c r="E2" s="47"/>
      <c r="F2" s="47"/>
      <c r="G2" s="47"/>
      <c r="H2" s="47"/>
    </row>
    <row r="3" spans="1:8" ht="31.5" customHeight="1">
      <c r="A3" s="8" t="s">
        <v>15</v>
      </c>
      <c r="B3" s="47" t="s">
        <v>63</v>
      </c>
      <c r="C3" s="47"/>
      <c r="D3" s="47"/>
      <c r="E3" s="47"/>
      <c r="F3" s="47"/>
      <c r="G3" s="47"/>
      <c r="H3" s="47"/>
    </row>
    <row r="4" spans="1:8" ht="62.1" customHeight="1">
      <c r="A4" s="8" t="s">
        <v>64</v>
      </c>
      <c r="B4" s="48" t="s">
        <v>65</v>
      </c>
      <c r="C4" s="48"/>
      <c r="D4" s="48"/>
      <c r="E4" s="48"/>
      <c r="F4" s="48"/>
      <c r="G4" s="48"/>
      <c r="H4" s="48"/>
    </row>
    <row r="5" spans="1:8" ht="6" customHeight="1"/>
    <row r="6" spans="1:8" ht="24" customHeight="1">
      <c r="A6" s="4" t="s">
        <v>66</v>
      </c>
      <c r="B6" s="4" t="s">
        <v>67</v>
      </c>
    </row>
    <row r="7" spans="1:8" ht="24" customHeight="1">
      <c r="A7" s="3" t="s">
        <v>68</v>
      </c>
      <c r="B7" s="3" t="s">
        <v>69</v>
      </c>
    </row>
    <row r="8" spans="1:8" ht="24" customHeight="1">
      <c r="A8" s="7" t="s">
        <v>70</v>
      </c>
      <c r="B8" s="7" t="s">
        <v>71</v>
      </c>
    </row>
    <row r="9" spans="1:8" ht="24" customHeight="1">
      <c r="A9" s="3" t="s">
        <v>72</v>
      </c>
      <c r="B9" s="3" t="s">
        <v>73</v>
      </c>
    </row>
    <row r="10" spans="1:8" ht="24" customHeight="1">
      <c r="A10" s="7" t="s">
        <v>74</v>
      </c>
      <c r="B10" s="7" t="s">
        <v>75</v>
      </c>
    </row>
    <row r="11" spans="1:8" ht="24" customHeight="1">
      <c r="A11" s="3" t="s">
        <v>76</v>
      </c>
      <c r="B11" s="3" t="s">
        <v>77</v>
      </c>
    </row>
    <row r="12" spans="1:8" ht="24" customHeight="1">
      <c r="A12" s="7" t="s">
        <v>78</v>
      </c>
      <c r="B12" s="7" t="s">
        <v>79</v>
      </c>
    </row>
    <row r="13" spans="1:8" ht="24" customHeight="1">
      <c r="A13" s="3" t="s">
        <v>80</v>
      </c>
      <c r="B13" s="3" t="s">
        <v>81</v>
      </c>
    </row>
    <row r="15" spans="1:8" ht="18" customHeight="1">
      <c r="A15" s="4" t="s">
        <v>13</v>
      </c>
      <c r="B15" s="4" t="s">
        <v>82</v>
      </c>
      <c r="C15" s="4" t="s">
        <v>83</v>
      </c>
      <c r="D15" s="4" t="s">
        <v>84</v>
      </c>
    </row>
    <row r="16" spans="1:8" ht="42">
      <c r="A16" s="3">
        <v>1</v>
      </c>
      <c r="B16" s="3" t="s">
        <v>85</v>
      </c>
      <c r="C16" s="3" t="s">
        <v>86</v>
      </c>
      <c r="D16" s="3" t="s">
        <v>87</v>
      </c>
    </row>
    <row r="17" spans="1:4" ht="27.95">
      <c r="A17" s="7">
        <v>2</v>
      </c>
      <c r="B17" s="7" t="s">
        <v>88</v>
      </c>
      <c r="C17" s="7" t="s">
        <v>89</v>
      </c>
      <c r="D17" s="7" t="s">
        <v>87</v>
      </c>
    </row>
    <row r="18" spans="1:4" ht="27.95">
      <c r="A18" s="3">
        <v>7</v>
      </c>
      <c r="B18" s="3" t="s">
        <v>90</v>
      </c>
      <c r="C18" s="3" t="s">
        <v>91</v>
      </c>
      <c r="D18" s="3" t="s">
        <v>17</v>
      </c>
    </row>
    <row r="19" spans="1:4" ht="27.95">
      <c r="A19" s="7">
        <v>8</v>
      </c>
      <c r="B19" s="7" t="s">
        <v>92</v>
      </c>
      <c r="C19" s="7" t="s">
        <v>93</v>
      </c>
      <c r="D19" s="7" t="s">
        <v>87</v>
      </c>
    </row>
    <row r="20" spans="1:4" ht="27.95">
      <c r="A20" s="3">
        <v>5</v>
      </c>
      <c r="B20" s="3" t="s">
        <v>94</v>
      </c>
      <c r="C20" s="3" t="s">
        <v>95</v>
      </c>
      <c r="D20" s="3" t="s">
        <v>22</v>
      </c>
    </row>
    <row r="21" spans="1:4" ht="27.95">
      <c r="A21" s="7">
        <v>6</v>
      </c>
      <c r="B21" s="7" t="s">
        <v>96</v>
      </c>
      <c r="C21" s="7" t="s">
        <v>97</v>
      </c>
      <c r="D21" s="7" t="s">
        <v>87</v>
      </c>
    </row>
  </sheetData>
  <mergeCells count="4">
    <mergeCell ref="A1:H1"/>
    <mergeCell ref="B2:H2"/>
    <mergeCell ref="B3:H3"/>
    <mergeCell ref="B4:H4"/>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1E948-FD40-43D5-A5AE-608FC207800E}">
  <dimension ref="A1:E13"/>
  <sheetViews>
    <sheetView showGridLines="0" zoomScaleNormal="100" workbookViewId="0">
      <selection activeCell="B2" sqref="B2:E2"/>
    </sheetView>
  </sheetViews>
  <sheetFormatPr defaultColWidth="8.7109375" defaultRowHeight="15"/>
  <cols>
    <col min="1" max="1" width="6" customWidth="1"/>
    <col min="2" max="2" width="24" customWidth="1"/>
    <col min="3" max="3" width="46" customWidth="1"/>
    <col min="4" max="4" width="26" customWidth="1"/>
    <col min="5" max="5" width="22" customWidth="1"/>
  </cols>
  <sheetData>
    <row r="1" spans="1:5" ht="24" customHeight="1">
      <c r="A1" s="44" t="s">
        <v>98</v>
      </c>
      <c r="B1" s="44"/>
      <c r="C1" s="44"/>
      <c r="D1" s="44"/>
      <c r="E1" s="44"/>
    </row>
    <row r="2" spans="1:5" ht="35.1" customHeight="1">
      <c r="A2" s="2" t="s">
        <v>6</v>
      </c>
      <c r="B2" s="45" t="s">
        <v>99</v>
      </c>
      <c r="C2" s="45"/>
      <c r="D2" s="45"/>
      <c r="E2" s="45"/>
    </row>
    <row r="3" spans="1:5" ht="33.75" customHeight="1">
      <c r="A3" s="2" t="s">
        <v>100</v>
      </c>
      <c r="B3" s="45" t="s">
        <v>101</v>
      </c>
      <c r="C3" s="45"/>
      <c r="D3" s="45"/>
      <c r="E3" s="45"/>
    </row>
    <row r="4" spans="1:5" ht="45.75" customHeight="1">
      <c r="A4" s="2" t="s">
        <v>102</v>
      </c>
      <c r="B4" s="45" t="s">
        <v>103</v>
      </c>
      <c r="C4" s="45"/>
      <c r="D4" s="45"/>
      <c r="E4" s="45"/>
    </row>
    <row r="5" spans="1:5" ht="6" customHeight="1"/>
    <row r="6" spans="1:5" ht="36" customHeight="1">
      <c r="A6" s="4" t="s">
        <v>104</v>
      </c>
      <c r="B6" s="4" t="s">
        <v>105</v>
      </c>
      <c r="C6" s="4" t="s">
        <v>106</v>
      </c>
      <c r="D6" s="4" t="s">
        <v>107</v>
      </c>
      <c r="E6" s="4" t="s">
        <v>84</v>
      </c>
    </row>
    <row r="7" spans="1:5" ht="36" customHeight="1">
      <c r="A7" s="5">
        <v>1</v>
      </c>
      <c r="B7" s="2" t="s">
        <v>108</v>
      </c>
      <c r="C7" s="3" t="s">
        <v>109</v>
      </c>
      <c r="D7" s="3" t="s">
        <v>110</v>
      </c>
      <c r="E7" s="3" t="s">
        <v>17</v>
      </c>
    </row>
    <row r="8" spans="1:5" ht="36" customHeight="1">
      <c r="A8" s="6">
        <v>2</v>
      </c>
      <c r="B8" s="9" t="s">
        <v>111</v>
      </c>
      <c r="C8" s="7" t="s">
        <v>112</v>
      </c>
      <c r="D8" s="7" t="s">
        <v>113</v>
      </c>
      <c r="E8" s="7" t="s">
        <v>114</v>
      </c>
    </row>
    <row r="9" spans="1:5" ht="36" customHeight="1">
      <c r="A9" s="5">
        <v>3</v>
      </c>
      <c r="B9" s="2" t="s">
        <v>115</v>
      </c>
      <c r="C9" s="3" t="s">
        <v>116</v>
      </c>
      <c r="D9" s="3" t="s">
        <v>117</v>
      </c>
      <c r="E9" s="3" t="s">
        <v>114</v>
      </c>
    </row>
    <row r="10" spans="1:5" ht="36" customHeight="1">
      <c r="A10" s="6">
        <v>4</v>
      </c>
      <c r="B10" s="9" t="s">
        <v>118</v>
      </c>
      <c r="C10" s="7" t="s">
        <v>119</v>
      </c>
      <c r="D10" s="7" t="s">
        <v>120</v>
      </c>
      <c r="E10" s="7" t="s">
        <v>121</v>
      </c>
    </row>
    <row r="11" spans="1:5" ht="36" customHeight="1">
      <c r="A11" s="5">
        <v>5</v>
      </c>
      <c r="B11" s="2" t="s">
        <v>122</v>
      </c>
      <c r="C11" s="3" t="s">
        <v>123</v>
      </c>
      <c r="D11" s="3" t="s">
        <v>124</v>
      </c>
      <c r="E11" s="3" t="s">
        <v>125</v>
      </c>
    </row>
    <row r="12" spans="1:5" ht="27.95">
      <c r="A12" s="6">
        <v>6</v>
      </c>
      <c r="B12" s="9" t="s">
        <v>126</v>
      </c>
      <c r="C12" s="7" t="s">
        <v>127</v>
      </c>
      <c r="D12" s="7" t="s">
        <v>128</v>
      </c>
      <c r="E12" s="7" t="s">
        <v>129</v>
      </c>
    </row>
    <row r="13" spans="1:5">
      <c r="A13" s="5">
        <v>7</v>
      </c>
      <c r="B13" s="2" t="s">
        <v>130</v>
      </c>
      <c r="C13" s="3" t="s">
        <v>131</v>
      </c>
      <c r="D13" s="3" t="s">
        <v>132</v>
      </c>
      <c r="E13" s="3" t="s">
        <v>17</v>
      </c>
    </row>
  </sheetData>
  <mergeCells count="4">
    <mergeCell ref="A1:E1"/>
    <mergeCell ref="B2:E2"/>
    <mergeCell ref="B3:E3"/>
    <mergeCell ref="B4:E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8860A-6069-46E4-8188-C928939EED41}">
  <dimension ref="A1:Q250"/>
  <sheetViews>
    <sheetView showGridLines="0" tabSelected="1" zoomScale="75" zoomScaleNormal="100" workbookViewId="0">
      <pane ySplit="12" topLeftCell="A13" activePane="bottomLeft" state="frozen"/>
      <selection pane="bottomLeft" activeCell="D27" sqref="D27"/>
    </sheetView>
  </sheetViews>
  <sheetFormatPr defaultColWidth="8.7109375" defaultRowHeight="15" customHeight="1"/>
  <cols>
    <col min="1" max="1" width="13.85546875" style="18" customWidth="1"/>
    <col min="2" max="2" width="12.85546875" style="18" bestFit="1" customWidth="1"/>
    <col min="3" max="3" width="41.28515625" style="18" bestFit="1" customWidth="1"/>
    <col min="4" max="4" width="81.7109375" style="18" customWidth="1"/>
    <col min="5" max="5" width="24.140625" style="18" customWidth="1"/>
    <col min="6" max="6" width="20.140625" style="18" bestFit="1" customWidth="1"/>
    <col min="7" max="7" width="14.7109375" style="18" bestFit="1" customWidth="1"/>
    <col min="8" max="8" width="24.140625" style="18" bestFit="1" customWidth="1"/>
    <col min="9" max="9" width="54" style="18" bestFit="1" customWidth="1"/>
    <col min="10" max="10" width="10.85546875" style="18" bestFit="1" customWidth="1"/>
    <col min="11" max="11" width="10.7109375" style="18" bestFit="1" customWidth="1"/>
    <col min="12" max="12" width="16" style="18" bestFit="1" customWidth="1"/>
    <col min="13" max="13" width="13.85546875" style="18" bestFit="1" customWidth="1"/>
    <col min="14" max="14" width="15.28515625" style="18" customWidth="1"/>
    <col min="15" max="15" width="8.7109375" style="18" bestFit="1" customWidth="1"/>
    <col min="16" max="16" width="9.7109375" style="18" customWidth="1"/>
    <col min="17" max="17" width="10.7109375" style="18" bestFit="1" customWidth="1"/>
    <col min="18" max="16384" width="8.7109375" style="18"/>
  </cols>
  <sheetData>
    <row r="1" spans="1:17" ht="15" customHeight="1">
      <c r="A1" s="40" t="s">
        <v>133</v>
      </c>
      <c r="B1" s="40"/>
      <c r="C1" s="40"/>
      <c r="D1" s="40"/>
      <c r="E1" s="40"/>
      <c r="F1" s="40"/>
      <c r="G1" s="40"/>
    </row>
    <row r="2" spans="1:17" ht="15" customHeight="1">
      <c r="A2" s="41" t="s">
        <v>134</v>
      </c>
      <c r="B2" s="41"/>
      <c r="C2" s="41"/>
      <c r="D2" s="41"/>
      <c r="E2" s="41"/>
      <c r="F2" s="41"/>
      <c r="G2" s="41"/>
      <c r="H2" s="41"/>
      <c r="I2" s="41"/>
      <c r="J2" s="41"/>
      <c r="K2" s="41"/>
      <c r="L2" s="41"/>
      <c r="M2" s="41"/>
      <c r="N2" s="41"/>
      <c r="O2" s="41"/>
      <c r="P2" s="41"/>
      <c r="Q2" s="41"/>
    </row>
    <row r="4" spans="1:17" ht="15" customHeight="1">
      <c r="A4" s="50" t="s">
        <v>135</v>
      </c>
      <c r="B4" s="50"/>
      <c r="C4" s="50"/>
      <c r="D4" s="50"/>
      <c r="E4" s="50"/>
      <c r="F4" s="50"/>
      <c r="G4" s="50"/>
      <c r="H4" s="50"/>
      <c r="I4" s="50"/>
      <c r="J4" s="50"/>
      <c r="K4" s="50"/>
      <c r="L4" s="50"/>
      <c r="M4" s="50"/>
      <c r="N4" s="50"/>
      <c r="O4" s="50"/>
      <c r="P4" s="50"/>
      <c r="Q4" s="50"/>
    </row>
    <row r="5" spans="1:17" ht="15.95">
      <c r="A5" s="19" t="s">
        <v>21</v>
      </c>
      <c r="B5" s="19" t="s">
        <v>136</v>
      </c>
      <c r="C5" s="19" t="s">
        <v>137</v>
      </c>
      <c r="D5" s="19" t="s">
        <v>138</v>
      </c>
      <c r="E5" s="19" t="s">
        <v>139</v>
      </c>
      <c r="F5" s="19" t="s">
        <v>140</v>
      </c>
    </row>
    <row r="6" spans="1:17" ht="15" customHeight="1">
      <c r="A6" s="20" t="s">
        <v>17</v>
      </c>
      <c r="B6" s="21">
        <f>COUNTIF($B$14:$B$250,A6)</f>
        <v>11</v>
      </c>
      <c r="C6" s="21">
        <f>COUNTIFS($B$14:$B$250,A6,$K$14:$K$250,"Build")</f>
        <v>0</v>
      </c>
      <c r="D6" s="21">
        <f>COUNTIFS($B$14:$B$250,A6,$K$14:$K$250,"Article-only")</f>
        <v>1</v>
      </c>
      <c r="E6" s="21">
        <f>COUNTIFS($B$14:$B$250,A6,$K$14:$K$250,"Shelved")</f>
        <v>0</v>
      </c>
      <c r="F6" s="22">
        <f>IFERROR(C6/B6,0)</f>
        <v>0</v>
      </c>
    </row>
    <row r="7" spans="1:17" ht="15" customHeight="1">
      <c r="A7" s="20" t="s">
        <v>20</v>
      </c>
      <c r="B7" s="21">
        <f>COUNTIF($B$14:$B$250,A7)</f>
        <v>7</v>
      </c>
      <c r="C7" s="21">
        <f>COUNTIFS($B$14:$B$250,A7,$K$14:$K$250,"Build")</f>
        <v>3</v>
      </c>
      <c r="D7" s="21">
        <f>COUNTIFS($B$14:$B$250,A7,$K$14:$K$250,"Article-only")</f>
        <v>1</v>
      </c>
      <c r="E7" s="21">
        <f>COUNTIFS($B$14:$B$250,A7,$K$14:$K$250,"Shelved")</f>
        <v>1</v>
      </c>
      <c r="F7" s="22">
        <f>IFERROR(C7/B7,0)</f>
        <v>0.42857142857142855</v>
      </c>
    </row>
    <row r="8" spans="1:17" ht="15" customHeight="1">
      <c r="A8" s="20" t="s">
        <v>22</v>
      </c>
      <c r="B8" s="21">
        <f>COUNTIF($B$14:$B$250,A8)</f>
        <v>6</v>
      </c>
      <c r="C8" s="21">
        <f>COUNTIFS($B$14:$B$250,A8,$K$14:$K$250,"Build")</f>
        <v>0</v>
      </c>
      <c r="D8" s="21">
        <v>1</v>
      </c>
      <c r="E8" s="21">
        <f>COUNTIFS($B$14:$B$250,A8,$K$14:$K$250,"Shelved")</f>
        <v>0</v>
      </c>
      <c r="F8" s="22">
        <f>IFERROR(C8/B8,0)</f>
        <v>0</v>
      </c>
    </row>
    <row r="9" spans="1:17" ht="15" customHeight="1">
      <c r="A9" s="23" t="s">
        <v>141</v>
      </c>
      <c r="B9" s="24">
        <f>SUM(B6:B8)</f>
        <v>24</v>
      </c>
      <c r="C9" s="24">
        <f>SUM(C6:C8)</f>
        <v>3</v>
      </c>
      <c r="D9" s="24">
        <f>SUM(D6:D8)</f>
        <v>3</v>
      </c>
      <c r="E9" s="24">
        <f>SUM(E6:E8)</f>
        <v>1</v>
      </c>
      <c r="F9" s="25">
        <f>IFERROR(C9/B9,0)</f>
        <v>0.125</v>
      </c>
    </row>
    <row r="11" spans="1:17">
      <c r="A11" s="42" t="s">
        <v>142</v>
      </c>
      <c r="B11" s="42"/>
      <c r="C11" s="42"/>
      <c r="D11" s="42"/>
      <c r="E11" s="42"/>
      <c r="F11" s="42"/>
      <c r="G11" s="42"/>
      <c r="H11" s="42"/>
      <c r="I11" s="42"/>
      <c r="J11" s="42"/>
      <c r="K11" s="42"/>
      <c r="L11" s="42"/>
      <c r="M11" s="42"/>
      <c r="N11" s="42"/>
      <c r="O11" s="42"/>
      <c r="P11" s="42"/>
      <c r="Q11" s="42"/>
    </row>
    <row r="12" spans="1:17" ht="15.95">
      <c r="A12" s="19" t="s">
        <v>143</v>
      </c>
      <c r="B12" s="19" t="s">
        <v>21</v>
      </c>
      <c r="C12" s="19" t="s">
        <v>144</v>
      </c>
      <c r="D12" s="19" t="s">
        <v>145</v>
      </c>
      <c r="E12" s="19" t="s">
        <v>146</v>
      </c>
      <c r="F12" s="19" t="s">
        <v>147</v>
      </c>
      <c r="G12" s="19" t="s">
        <v>148</v>
      </c>
      <c r="H12" s="19" t="s">
        <v>149</v>
      </c>
      <c r="I12" s="19" t="s">
        <v>150</v>
      </c>
      <c r="J12" s="19" t="s">
        <v>151</v>
      </c>
      <c r="K12" s="19" t="s">
        <v>152</v>
      </c>
      <c r="L12" s="19" t="s">
        <v>153</v>
      </c>
      <c r="M12" s="19" t="s">
        <v>25</v>
      </c>
      <c r="N12" s="19" t="s">
        <v>154</v>
      </c>
      <c r="O12" s="19" t="s">
        <v>155</v>
      </c>
      <c r="P12" s="19" t="s">
        <v>84</v>
      </c>
      <c r="Q12" s="19" t="s">
        <v>156</v>
      </c>
    </row>
    <row r="13" spans="1:17" s="26" customFormat="1" ht="48">
      <c r="A13" s="21" t="s">
        <v>157</v>
      </c>
      <c r="B13" s="21" t="s">
        <v>17</v>
      </c>
      <c r="C13" s="26" t="s">
        <v>158</v>
      </c>
      <c r="D13" s="26" t="s">
        <v>159</v>
      </c>
      <c r="E13" s="21" t="s">
        <v>160</v>
      </c>
      <c r="F13" s="21" t="s">
        <v>161</v>
      </c>
      <c r="G13" s="21" t="s">
        <v>162</v>
      </c>
      <c r="H13" s="21" t="s">
        <v>163</v>
      </c>
      <c r="I13" s="21" t="s">
        <v>164</v>
      </c>
      <c r="J13" s="21" t="s">
        <v>165</v>
      </c>
      <c r="K13" s="21" t="s">
        <v>137</v>
      </c>
      <c r="L13" s="21" t="s">
        <v>166</v>
      </c>
      <c r="M13" s="21" t="s">
        <v>167</v>
      </c>
      <c r="N13" s="27">
        <v>46280</v>
      </c>
      <c r="O13" s="27">
        <v>46288</v>
      </c>
      <c r="P13" s="21"/>
      <c r="Q13" s="21" t="s">
        <v>168</v>
      </c>
    </row>
    <row r="14" spans="1:17" s="26" customFormat="1" ht="63.95">
      <c r="A14" s="21" t="s">
        <v>157</v>
      </c>
      <c r="B14" s="21" t="s">
        <v>22</v>
      </c>
      <c r="C14" s="26" t="s">
        <v>169</v>
      </c>
      <c r="D14" s="26" t="s">
        <v>170</v>
      </c>
      <c r="E14" s="21" t="s">
        <v>160</v>
      </c>
      <c r="F14" s="21" t="s">
        <v>171</v>
      </c>
      <c r="G14" s="21" t="s">
        <v>172</v>
      </c>
      <c r="H14" s="21" t="s">
        <v>163</v>
      </c>
      <c r="I14" s="28" t="s">
        <v>173</v>
      </c>
      <c r="J14" s="21"/>
      <c r="K14" s="21" t="s">
        <v>174</v>
      </c>
      <c r="L14" s="21"/>
      <c r="M14" s="21"/>
      <c r="N14" s="21"/>
      <c r="O14" s="21"/>
      <c r="P14" s="21"/>
      <c r="Q14" s="21" t="s">
        <v>175</v>
      </c>
    </row>
    <row r="15" spans="1:17" ht="48">
      <c r="A15" s="21" t="s">
        <v>157</v>
      </c>
      <c r="B15" s="21" t="s">
        <v>20</v>
      </c>
      <c r="C15" s="21" t="s">
        <v>176</v>
      </c>
      <c r="D15" s="21" t="s">
        <v>177</v>
      </c>
      <c r="E15" s="21" t="s">
        <v>160</v>
      </c>
      <c r="F15" s="21" t="s">
        <v>161</v>
      </c>
      <c r="G15" s="21" t="s">
        <v>178</v>
      </c>
      <c r="H15" s="21" t="s">
        <v>179</v>
      </c>
      <c r="I15" s="28" t="s">
        <v>180</v>
      </c>
      <c r="J15" s="21"/>
      <c r="K15" s="21" t="s">
        <v>139</v>
      </c>
      <c r="L15" s="21"/>
      <c r="M15" s="21"/>
      <c r="N15" s="21"/>
      <c r="O15" s="21"/>
      <c r="P15" s="21"/>
      <c r="Q15" s="21" t="s">
        <v>175</v>
      </c>
    </row>
    <row r="16" spans="1:17" ht="96">
      <c r="A16" s="21" t="s">
        <v>157</v>
      </c>
      <c r="B16" s="21" t="s">
        <v>20</v>
      </c>
      <c r="C16" s="21" t="s">
        <v>181</v>
      </c>
      <c r="D16" s="21" t="s">
        <v>182</v>
      </c>
      <c r="E16" s="21" t="s">
        <v>183</v>
      </c>
      <c r="F16" s="21" t="s">
        <v>162</v>
      </c>
      <c r="G16" s="21" t="s">
        <v>178</v>
      </c>
      <c r="H16" s="21" t="s">
        <v>179</v>
      </c>
      <c r="I16" s="28" t="s">
        <v>184</v>
      </c>
      <c r="J16" s="21" t="s">
        <v>165</v>
      </c>
      <c r="K16" s="21" t="s">
        <v>137</v>
      </c>
      <c r="L16" s="21"/>
      <c r="M16" s="21" t="s">
        <v>185</v>
      </c>
      <c r="N16" s="27">
        <v>46286</v>
      </c>
      <c r="O16" s="21"/>
      <c r="P16" s="21"/>
      <c r="Q16" s="21" t="s">
        <v>186</v>
      </c>
    </row>
    <row r="17" spans="1:17" ht="63.95">
      <c r="A17" s="21" t="s">
        <v>157</v>
      </c>
      <c r="B17" s="21" t="s">
        <v>22</v>
      </c>
      <c r="C17" s="26" t="s">
        <v>187</v>
      </c>
      <c r="D17" s="26" t="s">
        <v>188</v>
      </c>
      <c r="E17" s="21" t="s">
        <v>183</v>
      </c>
      <c r="F17" s="21" t="s">
        <v>189</v>
      </c>
      <c r="G17" s="21" t="s">
        <v>178</v>
      </c>
      <c r="H17" s="21" t="s">
        <v>179</v>
      </c>
      <c r="I17" s="28" t="s">
        <v>190</v>
      </c>
      <c r="J17" s="21"/>
      <c r="K17" s="21" t="s">
        <v>174</v>
      </c>
      <c r="L17" s="21"/>
      <c r="M17" s="21"/>
      <c r="N17" s="21"/>
      <c r="O17" s="21"/>
      <c r="P17" s="21"/>
      <c r="Q17" s="21" t="s">
        <v>175</v>
      </c>
    </row>
    <row r="18" spans="1:17" s="29" customFormat="1" ht="96">
      <c r="A18" s="21" t="s">
        <v>191</v>
      </c>
      <c r="B18" s="21" t="s">
        <v>20</v>
      </c>
      <c r="C18" s="21" t="s">
        <v>192</v>
      </c>
      <c r="D18" s="21" t="s">
        <v>193</v>
      </c>
      <c r="E18" s="21" t="s">
        <v>194</v>
      </c>
      <c r="F18" s="21" t="s">
        <v>161</v>
      </c>
      <c r="G18" s="21" t="s">
        <v>162</v>
      </c>
      <c r="H18" s="21" t="s">
        <v>179</v>
      </c>
      <c r="I18" s="28" t="s">
        <v>195</v>
      </c>
      <c r="J18" s="21" t="s">
        <v>74</v>
      </c>
      <c r="K18" s="21" t="s">
        <v>138</v>
      </c>
      <c r="L18" s="15" t="s">
        <v>196</v>
      </c>
      <c r="M18" s="21" t="s">
        <v>197</v>
      </c>
      <c r="N18" s="27">
        <v>46287</v>
      </c>
      <c r="O18" s="21" t="s">
        <v>198</v>
      </c>
      <c r="P18" s="21" t="s">
        <v>197</v>
      </c>
      <c r="Q18" s="21" t="s">
        <v>168</v>
      </c>
    </row>
    <row r="19" spans="1:17" ht="80.099999999999994">
      <c r="A19" s="21" t="s">
        <v>191</v>
      </c>
      <c r="B19" s="21" t="s">
        <v>20</v>
      </c>
      <c r="C19" s="21" t="s">
        <v>199</v>
      </c>
      <c r="D19" s="21" t="s">
        <v>200</v>
      </c>
      <c r="E19" s="21" t="s">
        <v>183</v>
      </c>
      <c r="F19" s="21" t="s">
        <v>162</v>
      </c>
      <c r="G19" s="21" t="s">
        <v>178</v>
      </c>
      <c r="H19" s="21" t="s">
        <v>179</v>
      </c>
      <c r="I19" s="30" t="s">
        <v>201</v>
      </c>
      <c r="J19" s="21"/>
      <c r="K19" s="21" t="s">
        <v>174</v>
      </c>
      <c r="L19" s="21"/>
      <c r="M19" s="21"/>
      <c r="N19" s="21"/>
      <c r="O19" s="21"/>
      <c r="P19" s="21"/>
      <c r="Q19" s="21" t="s">
        <v>175</v>
      </c>
    </row>
    <row r="20" spans="1:17" ht="75.599999999999994" customHeight="1">
      <c r="A20" s="27" t="s">
        <v>202</v>
      </c>
      <c r="B20" s="21" t="s">
        <v>20</v>
      </c>
      <c r="C20" s="21" t="s">
        <v>203</v>
      </c>
      <c r="D20" s="21" t="s">
        <v>204</v>
      </c>
      <c r="E20" s="21" t="s">
        <v>205</v>
      </c>
      <c r="F20" s="21" t="s">
        <v>161</v>
      </c>
      <c r="G20" s="21" t="s">
        <v>178</v>
      </c>
      <c r="H20" s="21" t="s">
        <v>179</v>
      </c>
      <c r="I20" s="31" t="s">
        <v>206</v>
      </c>
      <c r="J20" s="21" t="s">
        <v>74</v>
      </c>
      <c r="K20" s="21" t="s">
        <v>174</v>
      </c>
      <c r="L20" s="21"/>
      <c r="M20" s="21"/>
      <c r="N20" s="21"/>
      <c r="O20" s="21"/>
      <c r="P20" s="21"/>
      <c r="Q20" s="21" t="s">
        <v>175</v>
      </c>
    </row>
    <row r="21" spans="1:17" ht="63.95">
      <c r="A21" s="21" t="s">
        <v>202</v>
      </c>
      <c r="B21" s="21" t="s">
        <v>20</v>
      </c>
      <c r="C21" s="21" t="s">
        <v>207</v>
      </c>
      <c r="D21" s="21" t="s">
        <v>208</v>
      </c>
      <c r="E21" s="21" t="s">
        <v>183</v>
      </c>
      <c r="F21" s="21" t="s">
        <v>161</v>
      </c>
      <c r="G21" s="21" t="s">
        <v>178</v>
      </c>
      <c r="H21" s="21" t="s">
        <v>179</v>
      </c>
      <c r="I21" s="30" t="s">
        <v>209</v>
      </c>
      <c r="J21" s="21"/>
      <c r="K21" s="21" t="s">
        <v>137</v>
      </c>
      <c r="L21" s="21"/>
      <c r="M21" s="21" t="s">
        <v>210</v>
      </c>
      <c r="N21" s="27">
        <v>46294</v>
      </c>
      <c r="O21" s="21"/>
      <c r="P21" s="21"/>
      <c r="Q21" s="21" t="s">
        <v>186</v>
      </c>
    </row>
    <row r="22" spans="1:17" ht="15.95">
      <c r="A22" s="21" t="s">
        <v>202</v>
      </c>
      <c r="B22" s="21" t="s">
        <v>20</v>
      </c>
      <c r="C22" s="21" t="s">
        <v>211</v>
      </c>
      <c r="D22" s="21" t="s">
        <v>212</v>
      </c>
      <c r="E22" s="21" t="s">
        <v>183</v>
      </c>
      <c r="F22" s="21" t="s">
        <v>161</v>
      </c>
      <c r="G22" s="21" t="s">
        <v>178</v>
      </c>
      <c r="H22" s="21" t="s">
        <v>179</v>
      </c>
      <c r="I22" s="21"/>
      <c r="J22" s="21" t="s">
        <v>165</v>
      </c>
      <c r="K22" s="21" t="s">
        <v>137</v>
      </c>
      <c r="L22" s="21"/>
      <c r="M22" s="21" t="s">
        <v>29</v>
      </c>
      <c r="N22" s="21" t="s">
        <v>213</v>
      </c>
      <c r="O22" s="21"/>
      <c r="P22" s="21"/>
      <c r="Q22" s="21" t="s">
        <v>186</v>
      </c>
    </row>
    <row r="23" spans="1:17" ht="32.1">
      <c r="A23" s="27">
        <v>46287</v>
      </c>
      <c r="B23" s="21" t="s">
        <v>17</v>
      </c>
      <c r="C23" s="21" t="s">
        <v>214</v>
      </c>
      <c r="D23" s="21" t="s">
        <v>215</v>
      </c>
      <c r="E23" s="21" t="s">
        <v>205</v>
      </c>
      <c r="F23" s="21" t="s">
        <v>216</v>
      </c>
      <c r="G23" s="21" t="s">
        <v>178</v>
      </c>
      <c r="H23" s="21" t="s">
        <v>164</v>
      </c>
      <c r="I23" s="30" t="s">
        <v>217</v>
      </c>
      <c r="J23" s="21" t="s">
        <v>218</v>
      </c>
      <c r="K23" s="21" t="s">
        <v>138</v>
      </c>
      <c r="L23" s="21" t="s">
        <v>219</v>
      </c>
      <c r="M23" s="21" t="s">
        <v>220</v>
      </c>
      <c r="N23" s="27">
        <v>46287</v>
      </c>
      <c r="O23" s="27">
        <v>46288</v>
      </c>
      <c r="P23" s="21" t="s">
        <v>17</v>
      </c>
      <c r="Q23" s="21" t="s">
        <v>168</v>
      </c>
    </row>
    <row r="24" spans="1:17" s="26" customFormat="1" ht="32.1">
      <c r="A24" s="27">
        <v>46289</v>
      </c>
      <c r="B24" s="21" t="s">
        <v>22</v>
      </c>
      <c r="C24" s="26" t="s">
        <v>221</v>
      </c>
      <c r="D24" s="26" t="s">
        <v>222</v>
      </c>
      <c r="E24" s="21" t="s">
        <v>183</v>
      </c>
      <c r="F24" s="21" t="s">
        <v>161</v>
      </c>
      <c r="G24" s="21" t="s">
        <v>178</v>
      </c>
      <c r="H24" s="21" t="s">
        <v>179</v>
      </c>
      <c r="I24" s="28" t="s">
        <v>223</v>
      </c>
      <c r="J24" s="21"/>
      <c r="K24" s="21"/>
      <c r="L24" s="21"/>
      <c r="M24" s="21"/>
      <c r="N24" s="21"/>
      <c r="O24" s="21"/>
      <c r="P24" s="21"/>
      <c r="Q24" s="21" t="s">
        <v>175</v>
      </c>
    </row>
    <row r="25" spans="1:17" ht="48">
      <c r="A25" s="27">
        <v>46289</v>
      </c>
      <c r="B25" s="21" t="s">
        <v>17</v>
      </c>
      <c r="C25" s="21" t="s">
        <v>224</v>
      </c>
      <c r="D25" s="21" t="s">
        <v>225</v>
      </c>
      <c r="E25" s="21" t="s">
        <v>226</v>
      </c>
      <c r="F25" s="21" t="s">
        <v>161</v>
      </c>
      <c r="G25" s="21" t="s">
        <v>178</v>
      </c>
      <c r="H25" s="21" t="s">
        <v>163</v>
      </c>
      <c r="I25" s="28" t="s">
        <v>227</v>
      </c>
      <c r="J25" s="21"/>
      <c r="K25" s="21"/>
      <c r="L25" s="21"/>
      <c r="M25" s="21"/>
      <c r="N25" s="21"/>
      <c r="O25" s="21"/>
      <c r="P25" s="21"/>
      <c r="Q25" s="21" t="s">
        <v>175</v>
      </c>
    </row>
    <row r="26" spans="1:17" ht="32.1">
      <c r="A26" s="27">
        <v>46289</v>
      </c>
      <c r="B26" s="21" t="s">
        <v>17</v>
      </c>
      <c r="C26" s="21" t="s">
        <v>228</v>
      </c>
      <c r="D26" s="21" t="s">
        <v>229</v>
      </c>
      <c r="E26" s="21" t="s">
        <v>226</v>
      </c>
      <c r="F26" s="21" t="s">
        <v>161</v>
      </c>
      <c r="G26" s="21" t="s">
        <v>178</v>
      </c>
      <c r="H26" s="21" t="s">
        <v>163</v>
      </c>
      <c r="I26" s="30" t="s">
        <v>230</v>
      </c>
      <c r="J26" s="21"/>
      <c r="K26" s="21"/>
      <c r="L26" s="21"/>
      <c r="M26" s="21"/>
      <c r="N26" s="21"/>
      <c r="O26" s="21"/>
      <c r="P26" s="21"/>
      <c r="Q26" s="21" t="s">
        <v>175</v>
      </c>
    </row>
    <row r="27" spans="1:17" ht="32.1">
      <c r="A27" s="27">
        <v>46289</v>
      </c>
      <c r="B27" s="21" t="s">
        <v>17</v>
      </c>
      <c r="C27" s="21" t="s">
        <v>231</v>
      </c>
      <c r="D27" s="21" t="s">
        <v>232</v>
      </c>
      <c r="E27" s="21" t="s">
        <v>226</v>
      </c>
      <c r="F27" s="21" t="s">
        <v>161</v>
      </c>
      <c r="G27" s="21" t="s">
        <v>178</v>
      </c>
      <c r="H27" s="21" t="s">
        <v>163</v>
      </c>
      <c r="I27" s="21" t="s">
        <v>233</v>
      </c>
      <c r="J27" s="21"/>
      <c r="K27" s="21"/>
      <c r="L27" s="21"/>
      <c r="M27" s="21"/>
      <c r="N27" s="21"/>
      <c r="O27" s="21"/>
      <c r="P27" s="21"/>
      <c r="Q27" s="21" t="s">
        <v>175</v>
      </c>
    </row>
    <row r="28" spans="1:17" ht="48">
      <c r="A28" s="27">
        <v>46289</v>
      </c>
      <c r="B28" s="21" t="s">
        <v>17</v>
      </c>
      <c r="C28" s="21" t="s">
        <v>234</v>
      </c>
      <c r="D28" s="21" t="s">
        <v>235</v>
      </c>
      <c r="E28" s="21" t="s">
        <v>236</v>
      </c>
      <c r="F28" s="21" t="s">
        <v>237</v>
      </c>
      <c r="G28" s="21" t="s">
        <v>178</v>
      </c>
      <c r="H28" s="21" t="s">
        <v>163</v>
      </c>
      <c r="I28" s="21" t="s">
        <v>238</v>
      </c>
      <c r="J28" s="21"/>
      <c r="K28" s="21"/>
      <c r="L28" s="21"/>
      <c r="M28" s="21"/>
      <c r="N28" s="21"/>
      <c r="O28" s="21"/>
      <c r="P28" s="21"/>
      <c r="Q28" s="21" t="s">
        <v>175</v>
      </c>
    </row>
    <row r="29" spans="1:17" ht="32.1">
      <c r="A29" s="27">
        <v>46289</v>
      </c>
      <c r="B29" s="21" t="s">
        <v>17</v>
      </c>
      <c r="C29" s="21" t="s">
        <v>239</v>
      </c>
      <c r="D29" s="21" t="s">
        <v>240</v>
      </c>
      <c r="E29" s="21" t="s">
        <v>241</v>
      </c>
      <c r="F29" s="21" t="s">
        <v>161</v>
      </c>
      <c r="G29" s="21" t="s">
        <v>178</v>
      </c>
      <c r="H29" s="21" t="s">
        <v>163</v>
      </c>
      <c r="I29" s="30" t="s">
        <v>242</v>
      </c>
      <c r="J29" s="21"/>
      <c r="K29" s="21"/>
      <c r="L29" s="21"/>
      <c r="M29" s="21"/>
      <c r="N29" s="21"/>
      <c r="O29" s="21"/>
      <c r="P29" s="21"/>
      <c r="Q29" s="21" t="s">
        <v>175</v>
      </c>
    </row>
    <row r="30" spans="1:17" ht="32.1">
      <c r="A30" s="27">
        <v>46289</v>
      </c>
      <c r="B30" s="21" t="s">
        <v>17</v>
      </c>
      <c r="C30" s="21" t="s">
        <v>243</v>
      </c>
      <c r="D30" s="21" t="s">
        <v>244</v>
      </c>
      <c r="E30" s="21" t="s">
        <v>245</v>
      </c>
      <c r="F30" s="21" t="s">
        <v>161</v>
      </c>
      <c r="G30" s="21" t="s">
        <v>178</v>
      </c>
      <c r="H30" s="21" t="s">
        <v>163</v>
      </c>
      <c r="I30" s="30" t="s">
        <v>246</v>
      </c>
      <c r="J30" s="21"/>
      <c r="K30" s="21"/>
      <c r="L30" s="21"/>
      <c r="M30" s="21"/>
      <c r="N30" s="21"/>
      <c r="O30" s="21"/>
      <c r="P30" s="21"/>
      <c r="Q30" s="21" t="s">
        <v>175</v>
      </c>
    </row>
    <row r="31" spans="1:17" ht="32.1">
      <c r="A31" s="27">
        <v>46289</v>
      </c>
      <c r="B31" s="21" t="s">
        <v>17</v>
      </c>
      <c r="C31" s="21" t="s">
        <v>247</v>
      </c>
      <c r="D31" s="21" t="s">
        <v>248</v>
      </c>
      <c r="E31" s="21" t="s">
        <v>249</v>
      </c>
      <c r="F31" s="21" t="s">
        <v>161</v>
      </c>
      <c r="G31" s="21" t="s">
        <v>178</v>
      </c>
      <c r="H31" s="21" t="s">
        <v>163</v>
      </c>
      <c r="I31" s="30" t="s">
        <v>250</v>
      </c>
      <c r="J31" s="21"/>
      <c r="K31" s="21"/>
      <c r="L31" s="21"/>
      <c r="M31" s="21"/>
      <c r="N31" s="21"/>
      <c r="O31" s="21"/>
      <c r="P31" s="21"/>
      <c r="Q31" s="21" t="s">
        <v>175</v>
      </c>
    </row>
    <row r="32" spans="1:17" ht="48">
      <c r="A32" s="32">
        <v>46290</v>
      </c>
      <c r="B32" s="33" t="s">
        <v>17</v>
      </c>
      <c r="C32" s="33" t="s">
        <v>251</v>
      </c>
      <c r="D32" s="33" t="s">
        <v>252</v>
      </c>
      <c r="E32" s="33" t="s">
        <v>253</v>
      </c>
      <c r="F32" s="33" t="s">
        <v>254</v>
      </c>
      <c r="G32" s="33" t="s">
        <v>178</v>
      </c>
      <c r="H32" s="33" t="s">
        <v>163</v>
      </c>
      <c r="I32" s="34" t="s">
        <v>255</v>
      </c>
      <c r="J32" s="21"/>
      <c r="K32" s="21"/>
      <c r="L32" s="21"/>
      <c r="M32" s="21"/>
      <c r="N32" s="21"/>
      <c r="O32" s="21"/>
      <c r="P32" s="21"/>
      <c r="Q32" s="21" t="s">
        <v>175</v>
      </c>
    </row>
    <row r="33" spans="1:17" ht="48">
      <c r="A33" s="32">
        <v>46290</v>
      </c>
      <c r="B33" s="33" t="s">
        <v>17</v>
      </c>
      <c r="C33" s="33" t="s">
        <v>256</v>
      </c>
      <c r="D33" s="33" t="s">
        <v>257</v>
      </c>
      <c r="E33" s="33" t="s">
        <v>245</v>
      </c>
      <c r="F33" s="33" t="s">
        <v>171</v>
      </c>
      <c r="G33" s="33" t="s">
        <v>178</v>
      </c>
      <c r="H33" s="33" t="s">
        <v>163</v>
      </c>
      <c r="I33" s="34" t="s">
        <v>258</v>
      </c>
      <c r="J33" s="21"/>
      <c r="K33" s="21"/>
      <c r="L33" s="21"/>
      <c r="M33" s="21"/>
      <c r="N33" s="21"/>
      <c r="O33" s="21"/>
      <c r="P33" s="21"/>
      <c r="Q33" s="21" t="s">
        <v>175</v>
      </c>
    </row>
    <row r="34" spans="1:17" ht="32.1">
      <c r="A34" s="35">
        <v>46293</v>
      </c>
      <c r="B34" s="36" t="s">
        <v>17</v>
      </c>
      <c r="C34" s="36" t="s">
        <v>259</v>
      </c>
      <c r="D34" s="36" t="s">
        <v>260</v>
      </c>
      <c r="E34" s="36" t="s">
        <v>245</v>
      </c>
      <c r="F34" s="36" t="s">
        <v>261</v>
      </c>
      <c r="G34" s="36" t="s">
        <v>178</v>
      </c>
      <c r="H34" s="36" t="s">
        <v>163</v>
      </c>
      <c r="I34" s="37" t="s">
        <v>78</v>
      </c>
      <c r="J34" s="21"/>
      <c r="K34" s="21"/>
      <c r="L34" s="21"/>
      <c r="M34" s="21"/>
      <c r="N34" s="21"/>
      <c r="O34" s="21"/>
      <c r="P34" s="21"/>
      <c r="Q34" s="21" t="s">
        <v>175</v>
      </c>
    </row>
    <row r="35" spans="1:17" s="26" customFormat="1" ht="128.1">
      <c r="A35" s="38">
        <v>46293</v>
      </c>
      <c r="B35" s="39" t="s">
        <v>22</v>
      </c>
      <c r="C35" s="13" t="s">
        <v>262</v>
      </c>
      <c r="D35" s="13" t="s">
        <v>263</v>
      </c>
      <c r="E35" s="39" t="s">
        <v>183</v>
      </c>
      <c r="F35" s="39" t="s">
        <v>161</v>
      </c>
      <c r="G35" s="13" t="s">
        <v>264</v>
      </c>
      <c r="H35" s="39" t="s">
        <v>179</v>
      </c>
      <c r="I35" s="14" t="s">
        <v>265</v>
      </c>
      <c r="J35" s="39"/>
      <c r="K35" s="39"/>
      <c r="L35" s="39"/>
      <c r="M35" s="39"/>
      <c r="N35" s="39"/>
      <c r="O35" s="39"/>
      <c r="P35" s="39"/>
      <c r="Q35" s="39" t="s">
        <v>175</v>
      </c>
    </row>
    <row r="36" spans="1:17" ht="128.1">
      <c r="A36" s="38">
        <v>46293</v>
      </c>
      <c r="B36" s="39" t="s">
        <v>22</v>
      </c>
      <c r="C36" s="13" t="s">
        <v>266</v>
      </c>
      <c r="D36" s="13" t="s">
        <v>267</v>
      </c>
      <c r="E36" s="39" t="s">
        <v>268</v>
      </c>
      <c r="F36" s="39" t="s">
        <v>269</v>
      </c>
      <c r="G36" s="13" t="s">
        <v>178</v>
      </c>
      <c r="H36" s="39" t="s">
        <v>179</v>
      </c>
      <c r="I36" s="14" t="s">
        <v>270</v>
      </c>
      <c r="J36" s="39"/>
      <c r="K36" s="39"/>
      <c r="L36" s="39"/>
      <c r="M36" s="39"/>
      <c r="N36" s="39"/>
      <c r="O36" s="39"/>
      <c r="P36" s="39"/>
      <c r="Q36" s="39" t="s">
        <v>175</v>
      </c>
    </row>
    <row r="37" spans="1:17" ht="82.5" customHeight="1">
      <c r="A37" s="38">
        <v>46294</v>
      </c>
      <c r="B37" s="21" t="s">
        <v>22</v>
      </c>
      <c r="C37" s="13" t="s">
        <v>271</v>
      </c>
      <c r="D37" s="11" t="s">
        <v>272</v>
      </c>
      <c r="E37" s="21" t="s">
        <v>205</v>
      </c>
      <c r="F37" s="21" t="s">
        <v>161</v>
      </c>
      <c r="G37" s="13" t="s">
        <v>178</v>
      </c>
      <c r="H37" s="21" t="s">
        <v>179</v>
      </c>
      <c r="I37" s="12" t="s">
        <v>273</v>
      </c>
      <c r="J37" s="21"/>
      <c r="K37" s="21"/>
      <c r="L37" s="21"/>
      <c r="M37" s="21"/>
      <c r="N37" s="21"/>
      <c r="O37" s="21"/>
      <c r="P37" s="21"/>
      <c r="Q37" s="21" t="s">
        <v>175</v>
      </c>
    </row>
    <row r="38" spans="1:17">
      <c r="A38" s="21"/>
      <c r="B38" s="21"/>
      <c r="C38" s="21"/>
      <c r="D38" s="11"/>
      <c r="E38" s="21"/>
      <c r="F38" s="21"/>
      <c r="G38" s="21"/>
      <c r="H38" s="21"/>
      <c r="I38" s="21"/>
      <c r="J38" s="21"/>
      <c r="K38" s="21"/>
      <c r="L38" s="21"/>
      <c r="M38" s="21"/>
      <c r="N38" s="21"/>
      <c r="O38" s="21"/>
      <c r="P38" s="21"/>
      <c r="Q38" s="21" t="s">
        <v>175</v>
      </c>
    </row>
    <row r="39" spans="1:17">
      <c r="A39" s="21"/>
      <c r="B39" s="21"/>
      <c r="C39" s="21"/>
      <c r="D39" s="21"/>
      <c r="E39" s="21"/>
      <c r="F39" s="21"/>
      <c r="G39" s="21"/>
      <c r="H39" s="21"/>
      <c r="I39" s="21"/>
      <c r="J39" s="21"/>
      <c r="K39" s="21"/>
      <c r="L39" s="21"/>
      <c r="M39" s="21"/>
      <c r="N39" s="21"/>
      <c r="O39" s="21"/>
      <c r="P39" s="21"/>
      <c r="Q39" s="21" t="s">
        <v>175</v>
      </c>
    </row>
    <row r="40" spans="1:17">
      <c r="A40" s="21"/>
      <c r="B40" s="21"/>
      <c r="C40" s="21"/>
      <c r="D40" s="21"/>
      <c r="E40" s="21"/>
      <c r="F40" s="21"/>
      <c r="G40" s="21"/>
      <c r="H40" s="21"/>
      <c r="I40" s="21"/>
      <c r="J40" s="21"/>
      <c r="K40" s="21"/>
      <c r="L40" s="21"/>
      <c r="M40" s="21"/>
      <c r="N40" s="21"/>
      <c r="O40" s="21"/>
      <c r="P40" s="21"/>
      <c r="Q40" s="21" t="s">
        <v>175</v>
      </c>
    </row>
    <row r="41" spans="1:17">
      <c r="A41" s="21"/>
      <c r="B41" s="21"/>
      <c r="C41" s="21"/>
      <c r="D41" s="21"/>
      <c r="E41" s="21"/>
      <c r="F41" s="21"/>
      <c r="G41" s="21"/>
      <c r="H41" s="21"/>
      <c r="I41" s="21"/>
      <c r="J41" s="21"/>
      <c r="K41" s="21"/>
      <c r="L41" s="21"/>
      <c r="M41" s="21"/>
      <c r="N41" s="21"/>
      <c r="O41" s="21"/>
      <c r="P41" s="21"/>
      <c r="Q41" s="21" t="s">
        <v>175</v>
      </c>
    </row>
    <row r="42" spans="1:17">
      <c r="A42" s="21"/>
      <c r="B42" s="21"/>
      <c r="C42" s="21"/>
      <c r="D42" s="21"/>
      <c r="E42" s="21"/>
      <c r="F42" s="21"/>
      <c r="G42" s="21"/>
      <c r="H42" s="21"/>
      <c r="I42" s="21"/>
      <c r="J42" s="21"/>
      <c r="K42" s="21"/>
      <c r="L42" s="21"/>
      <c r="M42" s="21"/>
      <c r="N42" s="21"/>
      <c r="O42" s="21"/>
      <c r="P42" s="21"/>
      <c r="Q42" s="21" t="s">
        <v>175</v>
      </c>
    </row>
    <row r="43" spans="1:17">
      <c r="A43" s="21"/>
      <c r="B43" s="21"/>
      <c r="C43" s="21"/>
      <c r="D43" s="21"/>
      <c r="E43" s="21"/>
      <c r="F43" s="21"/>
      <c r="G43" s="21"/>
      <c r="H43" s="21"/>
      <c r="I43" s="21"/>
      <c r="J43" s="21"/>
      <c r="K43" s="21"/>
      <c r="L43" s="21"/>
      <c r="M43" s="21"/>
      <c r="N43" s="21"/>
      <c r="O43" s="21"/>
      <c r="P43" s="21"/>
      <c r="Q43" s="21" t="s">
        <v>175</v>
      </c>
    </row>
    <row r="44" spans="1:17">
      <c r="A44" s="21"/>
      <c r="B44" s="21"/>
      <c r="C44" s="21"/>
      <c r="D44" s="21"/>
      <c r="E44" s="21"/>
      <c r="F44" s="21"/>
      <c r="G44" s="21"/>
      <c r="H44" s="21"/>
      <c r="I44" s="21"/>
      <c r="J44" s="21"/>
      <c r="K44" s="21"/>
      <c r="L44" s="21"/>
      <c r="M44" s="21"/>
      <c r="N44" s="21"/>
      <c r="O44" s="21"/>
      <c r="P44" s="21"/>
      <c r="Q44" s="21" t="s">
        <v>175</v>
      </c>
    </row>
    <row r="45" spans="1:17">
      <c r="A45" s="21"/>
      <c r="B45" s="21"/>
      <c r="C45" s="21"/>
      <c r="D45" s="21"/>
      <c r="E45" s="21"/>
      <c r="F45" s="21"/>
      <c r="G45" s="21"/>
      <c r="H45" s="21"/>
      <c r="I45" s="21"/>
      <c r="J45" s="21"/>
      <c r="K45" s="21"/>
      <c r="L45" s="21"/>
      <c r="M45" s="21"/>
      <c r="N45" s="21"/>
      <c r="O45" s="21"/>
      <c r="P45" s="21"/>
      <c r="Q45" s="21" t="s">
        <v>175</v>
      </c>
    </row>
    <row r="46" spans="1:17">
      <c r="A46" s="21"/>
      <c r="B46" s="21"/>
      <c r="C46" s="21"/>
      <c r="D46" s="21"/>
      <c r="E46" s="21"/>
      <c r="F46" s="21"/>
      <c r="G46" s="21"/>
      <c r="H46" s="21"/>
      <c r="I46" s="21"/>
      <c r="J46" s="21"/>
      <c r="K46" s="21"/>
      <c r="L46" s="21"/>
      <c r="M46" s="21"/>
      <c r="N46" s="21"/>
      <c r="O46" s="21"/>
      <c r="P46" s="21"/>
      <c r="Q46" s="21" t="s">
        <v>175</v>
      </c>
    </row>
    <row r="47" spans="1:17">
      <c r="A47" s="21"/>
      <c r="B47" s="21"/>
      <c r="C47" s="21"/>
      <c r="D47" s="21"/>
      <c r="E47" s="21"/>
      <c r="F47" s="21"/>
      <c r="G47" s="21"/>
      <c r="H47" s="21"/>
      <c r="I47" s="21"/>
      <c r="J47" s="21"/>
      <c r="K47" s="21"/>
      <c r="L47" s="21"/>
      <c r="M47" s="21"/>
      <c r="N47" s="21"/>
      <c r="O47" s="21"/>
      <c r="P47" s="21"/>
      <c r="Q47" s="21" t="s">
        <v>175</v>
      </c>
    </row>
    <row r="48" spans="1:17">
      <c r="A48" s="21"/>
      <c r="B48" s="21"/>
      <c r="C48" s="21"/>
      <c r="D48" s="21"/>
      <c r="E48" s="21"/>
      <c r="F48" s="21"/>
      <c r="G48" s="21"/>
      <c r="H48" s="21"/>
      <c r="I48" s="21"/>
      <c r="J48" s="21"/>
      <c r="K48" s="21"/>
      <c r="L48" s="21"/>
      <c r="M48" s="21"/>
      <c r="N48" s="21"/>
      <c r="O48" s="21"/>
      <c r="P48" s="21"/>
      <c r="Q48" s="21" t="s">
        <v>175</v>
      </c>
    </row>
    <row r="49" spans="1:17">
      <c r="A49" s="21"/>
      <c r="B49" s="21"/>
      <c r="C49" s="21"/>
      <c r="D49" s="21"/>
      <c r="E49" s="21"/>
      <c r="F49" s="21"/>
      <c r="G49" s="21"/>
      <c r="H49" s="21"/>
      <c r="I49" s="21"/>
      <c r="J49" s="21"/>
      <c r="K49" s="21"/>
      <c r="L49" s="21"/>
      <c r="M49" s="21"/>
      <c r="N49" s="21"/>
      <c r="O49" s="21"/>
      <c r="P49" s="21"/>
      <c r="Q49" s="21" t="s">
        <v>175</v>
      </c>
    </row>
    <row r="50" spans="1:17">
      <c r="A50" s="21"/>
      <c r="B50" s="21"/>
      <c r="C50" s="21"/>
      <c r="D50" s="21"/>
      <c r="E50" s="21"/>
      <c r="F50" s="21"/>
      <c r="G50" s="21"/>
      <c r="H50" s="21"/>
      <c r="I50" s="21"/>
      <c r="J50" s="21"/>
      <c r="K50" s="21"/>
      <c r="L50" s="21"/>
      <c r="M50" s="21"/>
      <c r="N50" s="21"/>
      <c r="O50" s="21"/>
      <c r="P50" s="21"/>
      <c r="Q50" s="21" t="s">
        <v>175</v>
      </c>
    </row>
    <row r="51" spans="1:17">
      <c r="A51" s="21"/>
      <c r="B51" s="21"/>
      <c r="C51" s="21"/>
      <c r="D51" s="21"/>
      <c r="E51" s="21"/>
      <c r="F51" s="21"/>
      <c r="G51" s="21"/>
      <c r="H51" s="21"/>
      <c r="I51" s="21"/>
      <c r="J51" s="21"/>
      <c r="K51" s="21"/>
      <c r="L51" s="21"/>
      <c r="M51" s="21"/>
      <c r="N51" s="21"/>
      <c r="O51" s="21"/>
      <c r="P51" s="21"/>
      <c r="Q51" s="21" t="s">
        <v>175</v>
      </c>
    </row>
    <row r="52" spans="1:17">
      <c r="A52" s="21"/>
      <c r="B52" s="21"/>
      <c r="C52" s="21"/>
      <c r="D52" s="21"/>
      <c r="E52" s="21"/>
      <c r="F52" s="21"/>
      <c r="G52" s="21"/>
      <c r="H52" s="21"/>
      <c r="I52" s="21"/>
      <c r="J52" s="21"/>
      <c r="K52" s="21"/>
      <c r="L52" s="21"/>
      <c r="M52" s="21"/>
      <c r="N52" s="21"/>
      <c r="O52" s="21"/>
      <c r="P52" s="21"/>
      <c r="Q52" s="21" t="s">
        <v>175</v>
      </c>
    </row>
    <row r="53" spans="1:17">
      <c r="A53" s="21"/>
      <c r="B53" s="21"/>
      <c r="C53" s="21"/>
      <c r="D53" s="21"/>
      <c r="E53" s="21"/>
      <c r="F53" s="21"/>
      <c r="G53" s="21"/>
      <c r="H53" s="21"/>
      <c r="I53" s="21"/>
      <c r="J53" s="21"/>
      <c r="K53" s="21"/>
      <c r="L53" s="21"/>
      <c r="M53" s="21"/>
      <c r="N53" s="21"/>
      <c r="O53" s="21"/>
      <c r="P53" s="21"/>
      <c r="Q53" s="21" t="s">
        <v>175</v>
      </c>
    </row>
    <row r="54" spans="1:17">
      <c r="A54" s="21"/>
      <c r="B54" s="21"/>
      <c r="C54" s="21"/>
      <c r="D54" s="21"/>
      <c r="E54" s="21"/>
      <c r="F54" s="21"/>
      <c r="G54" s="21"/>
      <c r="H54" s="21"/>
      <c r="I54" s="21"/>
      <c r="J54" s="21"/>
      <c r="K54" s="21"/>
      <c r="L54" s="21"/>
      <c r="M54" s="21"/>
      <c r="N54" s="21"/>
      <c r="O54" s="21"/>
      <c r="P54" s="21"/>
      <c r="Q54" s="21" t="s">
        <v>175</v>
      </c>
    </row>
    <row r="55" spans="1:17">
      <c r="A55" s="21"/>
      <c r="B55" s="21"/>
      <c r="C55" s="21"/>
      <c r="D55" s="21"/>
      <c r="E55" s="21"/>
      <c r="F55" s="21"/>
      <c r="G55" s="21"/>
      <c r="H55" s="21"/>
      <c r="I55" s="21"/>
      <c r="J55" s="21"/>
      <c r="K55" s="21"/>
      <c r="L55" s="21"/>
      <c r="M55" s="21"/>
      <c r="N55" s="21"/>
      <c r="O55" s="21"/>
      <c r="P55" s="21"/>
      <c r="Q55" s="21" t="s">
        <v>175</v>
      </c>
    </row>
    <row r="56" spans="1:17">
      <c r="A56" s="21"/>
      <c r="B56" s="21"/>
      <c r="C56" s="21"/>
      <c r="D56" s="21"/>
      <c r="E56" s="21"/>
      <c r="F56" s="21"/>
      <c r="G56" s="21"/>
      <c r="H56" s="21"/>
      <c r="I56" s="21"/>
      <c r="J56" s="21"/>
      <c r="K56" s="21"/>
      <c r="L56" s="21"/>
      <c r="M56" s="21"/>
      <c r="N56" s="21"/>
      <c r="O56" s="21"/>
      <c r="P56" s="21"/>
      <c r="Q56" s="21" t="s">
        <v>175</v>
      </c>
    </row>
    <row r="57" spans="1:17">
      <c r="A57" s="21"/>
      <c r="B57" s="21"/>
      <c r="C57" s="21"/>
      <c r="D57" s="21"/>
      <c r="E57" s="21"/>
      <c r="F57" s="21"/>
      <c r="G57" s="21"/>
      <c r="H57" s="21"/>
      <c r="I57" s="21"/>
      <c r="J57" s="21"/>
      <c r="K57" s="21"/>
      <c r="L57" s="21"/>
      <c r="M57" s="21"/>
      <c r="N57" s="21"/>
      <c r="O57" s="21"/>
      <c r="P57" s="21"/>
      <c r="Q57" s="21" t="s">
        <v>175</v>
      </c>
    </row>
    <row r="58" spans="1:17">
      <c r="A58" s="21"/>
      <c r="B58" s="21"/>
      <c r="C58" s="21"/>
      <c r="D58" s="21"/>
      <c r="E58" s="21"/>
      <c r="F58" s="21"/>
      <c r="G58" s="21"/>
      <c r="H58" s="21"/>
      <c r="I58" s="21"/>
      <c r="J58" s="21"/>
      <c r="K58" s="21"/>
      <c r="L58" s="21"/>
      <c r="M58" s="21"/>
      <c r="N58" s="21"/>
      <c r="O58" s="21"/>
      <c r="P58" s="21"/>
      <c r="Q58" s="21" t="s">
        <v>175</v>
      </c>
    </row>
    <row r="59" spans="1:17">
      <c r="A59" s="21"/>
      <c r="B59" s="21"/>
      <c r="C59" s="21"/>
      <c r="D59" s="21"/>
      <c r="E59" s="21"/>
      <c r="F59" s="21"/>
      <c r="G59" s="21"/>
      <c r="H59" s="21"/>
      <c r="I59" s="21"/>
      <c r="J59" s="21"/>
      <c r="K59" s="21"/>
      <c r="L59" s="21"/>
      <c r="M59" s="21"/>
      <c r="N59" s="21"/>
      <c r="O59" s="21"/>
      <c r="P59" s="21"/>
      <c r="Q59" s="21" t="s">
        <v>175</v>
      </c>
    </row>
    <row r="60" spans="1:17">
      <c r="A60" s="21"/>
      <c r="B60" s="21"/>
      <c r="C60" s="21"/>
      <c r="D60" s="21"/>
      <c r="E60" s="21"/>
      <c r="F60" s="21"/>
      <c r="G60" s="21"/>
      <c r="H60" s="21"/>
      <c r="I60" s="21"/>
      <c r="J60" s="21"/>
      <c r="K60" s="21"/>
      <c r="L60" s="21"/>
      <c r="M60" s="21"/>
      <c r="N60" s="21"/>
      <c r="O60" s="21"/>
      <c r="P60" s="21"/>
      <c r="Q60" s="21" t="s">
        <v>175</v>
      </c>
    </row>
    <row r="61" spans="1:17">
      <c r="A61" s="21"/>
      <c r="B61" s="21"/>
      <c r="C61" s="21"/>
      <c r="D61" s="21"/>
      <c r="E61" s="21"/>
      <c r="F61" s="21"/>
      <c r="G61" s="21"/>
      <c r="H61" s="21"/>
      <c r="I61" s="21"/>
      <c r="J61" s="21"/>
      <c r="K61" s="21"/>
      <c r="L61" s="21"/>
      <c r="M61" s="21"/>
      <c r="N61" s="21"/>
      <c r="O61" s="21"/>
      <c r="P61" s="21"/>
      <c r="Q61" s="21" t="s">
        <v>175</v>
      </c>
    </row>
    <row r="62" spans="1:17">
      <c r="A62" s="21"/>
      <c r="B62" s="21"/>
      <c r="C62" s="21"/>
      <c r="D62" s="21"/>
      <c r="E62" s="21"/>
      <c r="F62" s="21"/>
      <c r="G62" s="21"/>
      <c r="H62" s="21"/>
      <c r="I62" s="21"/>
      <c r="J62" s="21"/>
      <c r="K62" s="21"/>
      <c r="L62" s="21"/>
      <c r="M62" s="21"/>
      <c r="N62" s="21"/>
      <c r="O62" s="21"/>
      <c r="P62" s="21"/>
      <c r="Q62" s="21" t="s">
        <v>175</v>
      </c>
    </row>
    <row r="63" spans="1:17">
      <c r="A63" s="21"/>
      <c r="B63" s="21"/>
      <c r="C63" s="21"/>
      <c r="D63" s="21"/>
      <c r="E63" s="21"/>
      <c r="F63" s="21"/>
      <c r="G63" s="21"/>
      <c r="H63" s="21"/>
      <c r="I63" s="21"/>
      <c r="J63" s="21"/>
      <c r="K63" s="21"/>
      <c r="L63" s="21"/>
      <c r="M63" s="21"/>
      <c r="N63" s="21"/>
      <c r="O63" s="21"/>
      <c r="P63" s="21"/>
      <c r="Q63" s="21" t="s">
        <v>175</v>
      </c>
    </row>
    <row r="64" spans="1:17">
      <c r="A64" s="21"/>
      <c r="B64" s="21"/>
      <c r="C64" s="21"/>
      <c r="D64" s="21"/>
      <c r="E64" s="21"/>
      <c r="F64" s="21"/>
      <c r="G64" s="21"/>
      <c r="H64" s="21"/>
      <c r="I64" s="21"/>
      <c r="J64" s="21"/>
      <c r="K64" s="21"/>
      <c r="L64" s="21"/>
      <c r="M64" s="21"/>
      <c r="N64" s="21"/>
      <c r="O64" s="21"/>
      <c r="P64" s="21"/>
      <c r="Q64" s="21" t="s">
        <v>175</v>
      </c>
    </row>
    <row r="65" spans="1:17">
      <c r="A65" s="21"/>
      <c r="B65" s="21"/>
      <c r="C65" s="21"/>
      <c r="D65" s="21"/>
      <c r="E65" s="21"/>
      <c r="F65" s="21"/>
      <c r="G65" s="21"/>
      <c r="H65" s="21"/>
      <c r="I65" s="21"/>
      <c r="J65" s="21"/>
      <c r="K65" s="21"/>
      <c r="L65" s="21"/>
      <c r="M65" s="21"/>
      <c r="N65" s="21"/>
      <c r="O65" s="21"/>
      <c r="P65" s="21"/>
      <c r="Q65" s="21" t="s">
        <v>175</v>
      </c>
    </row>
    <row r="66" spans="1:17">
      <c r="A66" s="21"/>
      <c r="B66" s="21"/>
      <c r="C66" s="21"/>
      <c r="D66" s="21"/>
      <c r="E66" s="21"/>
      <c r="F66" s="21"/>
      <c r="G66" s="21"/>
      <c r="H66" s="21"/>
      <c r="I66" s="21"/>
      <c r="J66" s="21"/>
      <c r="K66" s="21"/>
      <c r="L66" s="21"/>
      <c r="M66" s="21"/>
      <c r="N66" s="21"/>
      <c r="O66" s="21"/>
      <c r="P66" s="21"/>
      <c r="Q66" s="21" t="s">
        <v>175</v>
      </c>
    </row>
    <row r="67" spans="1:17">
      <c r="A67" s="21"/>
      <c r="B67" s="21"/>
      <c r="C67" s="21"/>
      <c r="D67" s="21"/>
      <c r="E67" s="21"/>
      <c r="F67" s="21"/>
      <c r="G67" s="21"/>
      <c r="H67" s="21"/>
      <c r="I67" s="21"/>
      <c r="J67" s="21"/>
      <c r="K67" s="21"/>
      <c r="L67" s="21"/>
      <c r="M67" s="21"/>
      <c r="N67" s="21"/>
      <c r="O67" s="21"/>
      <c r="P67" s="21"/>
      <c r="Q67" s="21" t="s">
        <v>175</v>
      </c>
    </row>
    <row r="68" spans="1:17">
      <c r="A68" s="21"/>
      <c r="B68" s="21"/>
      <c r="C68" s="21"/>
      <c r="D68" s="21"/>
      <c r="E68" s="21"/>
      <c r="F68" s="21"/>
      <c r="G68" s="21"/>
      <c r="H68" s="21"/>
      <c r="I68" s="21"/>
      <c r="J68" s="21"/>
      <c r="K68" s="21"/>
      <c r="L68" s="21"/>
      <c r="M68" s="21"/>
      <c r="N68" s="21"/>
      <c r="O68" s="21"/>
      <c r="P68" s="21"/>
      <c r="Q68" s="21" t="s">
        <v>175</v>
      </c>
    </row>
    <row r="69" spans="1:17">
      <c r="A69" s="21"/>
      <c r="B69" s="21"/>
      <c r="C69" s="21"/>
      <c r="D69" s="21"/>
      <c r="E69" s="21"/>
      <c r="F69" s="21"/>
      <c r="G69" s="21"/>
      <c r="H69" s="21"/>
      <c r="I69" s="21"/>
      <c r="J69" s="21"/>
      <c r="K69" s="21"/>
      <c r="L69" s="21"/>
      <c r="M69" s="21"/>
      <c r="N69" s="21"/>
      <c r="O69" s="21"/>
      <c r="P69" s="21"/>
      <c r="Q69" s="21" t="s">
        <v>175</v>
      </c>
    </row>
    <row r="70" spans="1:17">
      <c r="A70" s="21"/>
      <c r="B70" s="21"/>
      <c r="C70" s="21"/>
      <c r="D70" s="21"/>
      <c r="E70" s="21"/>
      <c r="F70" s="21"/>
      <c r="G70" s="21"/>
      <c r="H70" s="21"/>
      <c r="I70" s="21"/>
      <c r="J70" s="21"/>
      <c r="K70" s="21"/>
      <c r="L70" s="21"/>
      <c r="M70" s="21"/>
      <c r="N70" s="21"/>
      <c r="O70" s="21"/>
      <c r="P70" s="21"/>
      <c r="Q70" s="21" t="s">
        <v>175</v>
      </c>
    </row>
    <row r="71" spans="1:17">
      <c r="A71" s="21"/>
      <c r="B71" s="21"/>
      <c r="C71" s="21"/>
      <c r="D71" s="21"/>
      <c r="E71" s="21"/>
      <c r="F71" s="21"/>
      <c r="G71" s="21"/>
      <c r="H71" s="21"/>
      <c r="I71" s="21"/>
      <c r="J71" s="21"/>
      <c r="K71" s="21"/>
      <c r="L71" s="21"/>
      <c r="M71" s="21"/>
      <c r="N71" s="21"/>
      <c r="O71" s="21"/>
      <c r="P71" s="21"/>
      <c r="Q71" s="21" t="s">
        <v>175</v>
      </c>
    </row>
    <row r="72" spans="1:17">
      <c r="A72" s="21"/>
      <c r="B72" s="21"/>
      <c r="C72" s="21"/>
      <c r="D72" s="21"/>
      <c r="E72" s="21"/>
      <c r="F72" s="21"/>
      <c r="G72" s="21"/>
      <c r="H72" s="21"/>
      <c r="I72" s="21"/>
      <c r="J72" s="21"/>
      <c r="K72" s="21"/>
      <c r="L72" s="21"/>
      <c r="M72" s="21"/>
      <c r="N72" s="21"/>
      <c r="O72" s="21"/>
      <c r="P72" s="21"/>
      <c r="Q72" s="21" t="s">
        <v>175</v>
      </c>
    </row>
    <row r="73" spans="1:17">
      <c r="A73" s="21"/>
      <c r="B73" s="21"/>
      <c r="C73" s="21"/>
      <c r="D73" s="21"/>
      <c r="E73" s="21"/>
      <c r="F73" s="21"/>
      <c r="G73" s="21"/>
      <c r="H73" s="21"/>
      <c r="I73" s="21"/>
      <c r="J73" s="21"/>
      <c r="K73" s="21"/>
      <c r="L73" s="21"/>
      <c r="M73" s="21"/>
      <c r="N73" s="21"/>
      <c r="O73" s="21"/>
      <c r="P73" s="21"/>
      <c r="Q73" s="21" t="s">
        <v>175</v>
      </c>
    </row>
    <row r="74" spans="1:17">
      <c r="A74" s="21"/>
      <c r="B74" s="21"/>
      <c r="C74" s="21"/>
      <c r="D74" s="21"/>
      <c r="E74" s="21"/>
      <c r="F74" s="21"/>
      <c r="G74" s="21"/>
      <c r="H74" s="21"/>
      <c r="I74" s="21"/>
      <c r="J74" s="21"/>
      <c r="K74" s="21"/>
      <c r="L74" s="21"/>
      <c r="M74" s="21"/>
      <c r="N74" s="21"/>
      <c r="O74" s="21"/>
      <c r="P74" s="21"/>
      <c r="Q74" s="21" t="s">
        <v>175</v>
      </c>
    </row>
    <row r="75" spans="1:17">
      <c r="A75" s="21"/>
      <c r="B75" s="21"/>
      <c r="C75" s="21"/>
      <c r="D75" s="21"/>
      <c r="E75" s="21"/>
      <c r="F75" s="21"/>
      <c r="G75" s="21"/>
      <c r="H75" s="21"/>
      <c r="I75" s="21"/>
      <c r="J75" s="21"/>
      <c r="K75" s="21"/>
      <c r="L75" s="21"/>
      <c r="M75" s="21"/>
      <c r="N75" s="21"/>
      <c r="O75" s="21"/>
      <c r="P75" s="21"/>
      <c r="Q75" s="21" t="s">
        <v>175</v>
      </c>
    </row>
    <row r="76" spans="1:17">
      <c r="A76" s="21"/>
      <c r="B76" s="21"/>
      <c r="C76" s="21"/>
      <c r="D76" s="21"/>
      <c r="E76" s="21"/>
      <c r="F76" s="21"/>
      <c r="G76" s="21"/>
      <c r="H76" s="21"/>
      <c r="I76" s="21"/>
      <c r="J76" s="21"/>
      <c r="K76" s="21"/>
      <c r="L76" s="21"/>
      <c r="M76" s="21"/>
      <c r="N76" s="21"/>
      <c r="O76" s="21"/>
      <c r="P76" s="21"/>
      <c r="Q76" s="21" t="s">
        <v>175</v>
      </c>
    </row>
    <row r="77" spans="1:17">
      <c r="A77" s="21"/>
      <c r="B77" s="21"/>
      <c r="C77" s="21"/>
      <c r="D77" s="21"/>
      <c r="E77" s="21"/>
      <c r="F77" s="21"/>
      <c r="G77" s="21"/>
      <c r="H77" s="21"/>
      <c r="I77" s="21"/>
      <c r="J77" s="21"/>
      <c r="K77" s="21"/>
      <c r="L77" s="21"/>
      <c r="M77" s="21"/>
      <c r="N77" s="21"/>
      <c r="O77" s="21"/>
      <c r="P77" s="21"/>
      <c r="Q77" s="21" t="s">
        <v>175</v>
      </c>
    </row>
    <row r="78" spans="1:17">
      <c r="A78" s="21"/>
      <c r="B78" s="21"/>
      <c r="C78" s="21"/>
      <c r="D78" s="21"/>
      <c r="E78" s="21"/>
      <c r="F78" s="21"/>
      <c r="G78" s="21"/>
      <c r="H78" s="21"/>
      <c r="I78" s="21"/>
      <c r="J78" s="21"/>
      <c r="K78" s="21"/>
      <c r="L78" s="21"/>
      <c r="M78" s="21"/>
      <c r="N78" s="21"/>
      <c r="O78" s="21"/>
      <c r="P78" s="21"/>
      <c r="Q78" s="21" t="s">
        <v>175</v>
      </c>
    </row>
    <row r="79" spans="1:17">
      <c r="A79" s="21"/>
      <c r="B79" s="21"/>
      <c r="C79" s="21"/>
      <c r="D79" s="21"/>
      <c r="E79" s="21"/>
      <c r="F79" s="21"/>
      <c r="G79" s="21"/>
      <c r="H79" s="21"/>
      <c r="I79" s="21"/>
      <c r="J79" s="21"/>
      <c r="K79" s="21"/>
      <c r="L79" s="21"/>
      <c r="M79" s="21"/>
      <c r="N79" s="21"/>
      <c r="O79" s="21"/>
      <c r="P79" s="21"/>
      <c r="Q79" s="21" t="s">
        <v>175</v>
      </c>
    </row>
    <row r="80" spans="1:17">
      <c r="A80" s="21"/>
      <c r="B80" s="21"/>
      <c r="C80" s="21"/>
      <c r="D80" s="21"/>
      <c r="E80" s="21"/>
      <c r="F80" s="21"/>
      <c r="G80" s="21"/>
      <c r="H80" s="21"/>
      <c r="I80" s="21"/>
      <c r="J80" s="21"/>
      <c r="K80" s="21"/>
      <c r="L80" s="21"/>
      <c r="M80" s="21"/>
      <c r="N80" s="21"/>
      <c r="O80" s="21"/>
      <c r="P80" s="21"/>
      <c r="Q80" s="21" t="s">
        <v>175</v>
      </c>
    </row>
    <row r="81" spans="1:17">
      <c r="A81" s="21"/>
      <c r="B81" s="21"/>
      <c r="C81" s="21"/>
      <c r="D81" s="21"/>
      <c r="E81" s="21"/>
      <c r="F81" s="21"/>
      <c r="G81" s="21"/>
      <c r="H81" s="21"/>
      <c r="I81" s="21"/>
      <c r="J81" s="21"/>
      <c r="K81" s="21"/>
      <c r="L81" s="21"/>
      <c r="M81" s="21"/>
      <c r="N81" s="21"/>
      <c r="O81" s="21"/>
      <c r="P81" s="21"/>
      <c r="Q81" s="21" t="s">
        <v>175</v>
      </c>
    </row>
    <row r="82" spans="1:17">
      <c r="A82" s="21"/>
      <c r="B82" s="21"/>
      <c r="C82" s="21"/>
      <c r="D82" s="21"/>
      <c r="E82" s="21"/>
      <c r="F82" s="21"/>
      <c r="G82" s="21"/>
      <c r="H82" s="21"/>
      <c r="I82" s="21"/>
      <c r="J82" s="21"/>
      <c r="K82" s="21"/>
      <c r="L82" s="21"/>
      <c r="M82" s="21"/>
      <c r="N82" s="21"/>
      <c r="O82" s="21"/>
      <c r="P82" s="21"/>
      <c r="Q82" s="21" t="s">
        <v>175</v>
      </c>
    </row>
    <row r="83" spans="1:17">
      <c r="A83" s="21"/>
      <c r="B83" s="21"/>
      <c r="C83" s="21"/>
      <c r="D83" s="21"/>
      <c r="E83" s="21"/>
      <c r="F83" s="21"/>
      <c r="G83" s="21"/>
      <c r="H83" s="21"/>
      <c r="I83" s="21"/>
      <c r="J83" s="21"/>
      <c r="K83" s="21"/>
      <c r="L83" s="21"/>
      <c r="M83" s="21"/>
      <c r="N83" s="21"/>
      <c r="O83" s="21"/>
      <c r="P83" s="21"/>
      <c r="Q83" s="21" t="s">
        <v>175</v>
      </c>
    </row>
    <row r="84" spans="1:17">
      <c r="A84" s="21"/>
      <c r="B84" s="21"/>
      <c r="C84" s="21"/>
      <c r="D84" s="21"/>
      <c r="E84" s="21"/>
      <c r="F84" s="21"/>
      <c r="G84" s="21"/>
      <c r="H84" s="21"/>
      <c r="I84" s="21"/>
      <c r="J84" s="21"/>
      <c r="K84" s="21"/>
      <c r="L84" s="21"/>
      <c r="M84" s="21"/>
      <c r="N84" s="21"/>
      <c r="O84" s="21"/>
      <c r="P84" s="21"/>
      <c r="Q84" s="21" t="s">
        <v>175</v>
      </c>
    </row>
    <row r="85" spans="1:17">
      <c r="A85" s="21"/>
      <c r="B85" s="21"/>
      <c r="C85" s="21"/>
      <c r="D85" s="21"/>
      <c r="E85" s="21"/>
      <c r="F85" s="21"/>
      <c r="G85" s="21"/>
      <c r="H85" s="21"/>
      <c r="I85" s="21"/>
      <c r="J85" s="21"/>
      <c r="K85" s="21"/>
      <c r="L85" s="21"/>
      <c r="M85" s="21"/>
      <c r="N85" s="21"/>
      <c r="O85" s="21"/>
      <c r="P85" s="21"/>
      <c r="Q85" s="21" t="s">
        <v>175</v>
      </c>
    </row>
    <row r="86" spans="1:17">
      <c r="A86" s="21"/>
      <c r="B86" s="21"/>
      <c r="C86" s="21"/>
      <c r="D86" s="21"/>
      <c r="E86" s="21"/>
      <c r="F86" s="21"/>
      <c r="G86" s="21"/>
      <c r="H86" s="21"/>
      <c r="I86" s="21"/>
      <c r="J86" s="21"/>
      <c r="K86" s="21"/>
      <c r="L86" s="21"/>
      <c r="M86" s="21"/>
      <c r="N86" s="21"/>
      <c r="O86" s="21"/>
      <c r="P86" s="21"/>
      <c r="Q86" s="21" t="s">
        <v>175</v>
      </c>
    </row>
    <row r="87" spans="1:17">
      <c r="A87" s="21"/>
      <c r="B87" s="21"/>
      <c r="C87" s="21"/>
      <c r="D87" s="21"/>
      <c r="E87" s="21"/>
      <c r="F87" s="21"/>
      <c r="G87" s="21"/>
      <c r="H87" s="21"/>
      <c r="I87" s="21"/>
      <c r="J87" s="21"/>
      <c r="K87" s="21"/>
      <c r="L87" s="21"/>
      <c r="M87" s="21"/>
      <c r="N87" s="21"/>
      <c r="O87" s="21"/>
      <c r="P87" s="21"/>
      <c r="Q87" s="21" t="s">
        <v>175</v>
      </c>
    </row>
    <row r="88" spans="1:17">
      <c r="A88" s="21"/>
      <c r="B88" s="21"/>
      <c r="C88" s="21"/>
      <c r="D88" s="21"/>
      <c r="E88" s="21"/>
      <c r="F88" s="21"/>
      <c r="G88" s="21"/>
      <c r="H88" s="21"/>
      <c r="I88" s="21"/>
      <c r="J88" s="21"/>
      <c r="K88" s="21"/>
      <c r="L88" s="21"/>
      <c r="M88" s="21"/>
      <c r="N88" s="21"/>
      <c r="O88" s="21"/>
      <c r="P88" s="21"/>
      <c r="Q88" s="21" t="s">
        <v>175</v>
      </c>
    </row>
    <row r="89" spans="1:17">
      <c r="A89" s="21"/>
      <c r="B89" s="21"/>
      <c r="C89" s="21"/>
      <c r="D89" s="21"/>
      <c r="E89" s="21"/>
      <c r="F89" s="21"/>
      <c r="G89" s="21"/>
      <c r="H89" s="21"/>
      <c r="I89" s="21"/>
      <c r="J89" s="21"/>
      <c r="K89" s="21"/>
      <c r="L89" s="21"/>
      <c r="M89" s="21"/>
      <c r="N89" s="21"/>
      <c r="O89" s="21"/>
      <c r="P89" s="21"/>
      <c r="Q89" s="21" t="s">
        <v>175</v>
      </c>
    </row>
    <row r="90" spans="1:17">
      <c r="A90" s="21"/>
      <c r="B90" s="21"/>
      <c r="C90" s="21"/>
      <c r="D90" s="21"/>
      <c r="E90" s="21"/>
      <c r="F90" s="21"/>
      <c r="G90" s="21"/>
      <c r="H90" s="21"/>
      <c r="I90" s="21"/>
      <c r="J90" s="21"/>
      <c r="K90" s="21"/>
      <c r="L90" s="21"/>
      <c r="M90" s="21"/>
      <c r="N90" s="21"/>
      <c r="O90" s="21"/>
      <c r="P90" s="21"/>
      <c r="Q90" s="21" t="s">
        <v>175</v>
      </c>
    </row>
    <row r="91" spans="1:17">
      <c r="A91" s="21"/>
      <c r="B91" s="21"/>
      <c r="C91" s="21"/>
      <c r="D91" s="21"/>
      <c r="E91" s="21"/>
      <c r="F91" s="21"/>
      <c r="G91" s="21"/>
      <c r="H91" s="21"/>
      <c r="I91" s="21"/>
      <c r="J91" s="21"/>
      <c r="K91" s="21"/>
      <c r="L91" s="21"/>
      <c r="M91" s="21"/>
      <c r="N91" s="21"/>
      <c r="O91" s="21"/>
      <c r="P91" s="21"/>
      <c r="Q91" s="21" t="s">
        <v>175</v>
      </c>
    </row>
    <row r="92" spans="1:17">
      <c r="A92" s="21"/>
      <c r="B92" s="21"/>
      <c r="C92" s="21"/>
      <c r="D92" s="21"/>
      <c r="E92" s="21"/>
      <c r="F92" s="21"/>
      <c r="G92" s="21"/>
      <c r="H92" s="21"/>
      <c r="I92" s="21"/>
      <c r="J92" s="21"/>
      <c r="K92" s="21"/>
      <c r="L92" s="21"/>
      <c r="M92" s="21"/>
      <c r="N92" s="21"/>
      <c r="O92" s="21"/>
      <c r="P92" s="21"/>
      <c r="Q92" s="21" t="s">
        <v>175</v>
      </c>
    </row>
    <row r="93" spans="1:17">
      <c r="A93" s="21"/>
      <c r="B93" s="21"/>
      <c r="C93" s="21"/>
      <c r="D93" s="21"/>
      <c r="E93" s="21"/>
      <c r="F93" s="21"/>
      <c r="G93" s="21"/>
      <c r="H93" s="21"/>
      <c r="I93" s="21"/>
      <c r="J93" s="21"/>
      <c r="K93" s="21"/>
      <c r="L93" s="21"/>
      <c r="M93" s="21"/>
      <c r="N93" s="21"/>
      <c r="O93" s="21"/>
      <c r="P93" s="21"/>
      <c r="Q93" s="21" t="s">
        <v>175</v>
      </c>
    </row>
    <row r="94" spans="1:17">
      <c r="A94" s="21"/>
      <c r="B94" s="21"/>
      <c r="C94" s="21"/>
      <c r="D94" s="21"/>
      <c r="E94" s="21"/>
      <c r="F94" s="21"/>
      <c r="G94" s="21"/>
      <c r="H94" s="21"/>
      <c r="I94" s="21"/>
      <c r="J94" s="21"/>
      <c r="K94" s="21"/>
      <c r="L94" s="21"/>
      <c r="M94" s="21"/>
      <c r="N94" s="21"/>
      <c r="O94" s="21"/>
      <c r="P94" s="21"/>
      <c r="Q94" s="21" t="s">
        <v>175</v>
      </c>
    </row>
    <row r="95" spans="1:17">
      <c r="A95" s="21"/>
      <c r="B95" s="21"/>
      <c r="C95" s="21"/>
      <c r="D95" s="21"/>
      <c r="E95" s="21"/>
      <c r="F95" s="21"/>
      <c r="G95" s="21"/>
      <c r="H95" s="21"/>
      <c r="I95" s="21"/>
      <c r="J95" s="21"/>
      <c r="K95" s="21"/>
      <c r="L95" s="21"/>
      <c r="M95" s="21"/>
      <c r="N95" s="21"/>
      <c r="O95" s="21"/>
      <c r="P95" s="21"/>
      <c r="Q95" s="21" t="s">
        <v>175</v>
      </c>
    </row>
    <row r="96" spans="1:17">
      <c r="A96" s="21"/>
      <c r="B96" s="21"/>
      <c r="C96" s="21"/>
      <c r="D96" s="21"/>
      <c r="E96" s="21"/>
      <c r="F96" s="21"/>
      <c r="G96" s="21"/>
      <c r="H96" s="21"/>
      <c r="I96" s="21"/>
      <c r="J96" s="21"/>
      <c r="K96" s="21"/>
      <c r="L96" s="21"/>
      <c r="M96" s="21"/>
      <c r="N96" s="21"/>
      <c r="O96" s="21"/>
      <c r="P96" s="21"/>
      <c r="Q96" s="21" t="s">
        <v>175</v>
      </c>
    </row>
    <row r="97" spans="1:17">
      <c r="A97" s="21"/>
      <c r="B97" s="21"/>
      <c r="C97" s="21"/>
      <c r="D97" s="21"/>
      <c r="E97" s="21"/>
      <c r="F97" s="21"/>
      <c r="G97" s="21"/>
      <c r="H97" s="21"/>
      <c r="I97" s="21"/>
      <c r="J97" s="21"/>
      <c r="K97" s="21"/>
      <c r="L97" s="21"/>
      <c r="M97" s="21"/>
      <c r="N97" s="21"/>
      <c r="O97" s="21"/>
      <c r="P97" s="21"/>
      <c r="Q97" s="21" t="s">
        <v>175</v>
      </c>
    </row>
    <row r="98" spans="1:17">
      <c r="A98" s="21"/>
      <c r="B98" s="21"/>
      <c r="C98" s="21"/>
      <c r="D98" s="21"/>
      <c r="E98" s="21"/>
      <c r="F98" s="21"/>
      <c r="G98" s="21"/>
      <c r="H98" s="21"/>
      <c r="I98" s="21"/>
      <c r="J98" s="21"/>
      <c r="K98" s="21"/>
      <c r="L98" s="21"/>
      <c r="M98" s="21"/>
      <c r="N98" s="21"/>
      <c r="O98" s="21"/>
      <c r="P98" s="21"/>
      <c r="Q98" s="21" t="s">
        <v>175</v>
      </c>
    </row>
    <row r="99" spans="1:17">
      <c r="A99" s="21"/>
      <c r="B99" s="21"/>
      <c r="C99" s="21"/>
      <c r="D99" s="21"/>
      <c r="E99" s="21"/>
      <c r="F99" s="21"/>
      <c r="G99" s="21"/>
      <c r="H99" s="21"/>
      <c r="I99" s="21"/>
      <c r="J99" s="21"/>
      <c r="K99" s="21"/>
      <c r="L99" s="21"/>
      <c r="M99" s="21"/>
      <c r="N99" s="21"/>
      <c r="O99" s="21"/>
      <c r="P99" s="21"/>
      <c r="Q99" s="21" t="s">
        <v>175</v>
      </c>
    </row>
    <row r="100" spans="1:17">
      <c r="A100" s="21"/>
      <c r="B100" s="21"/>
      <c r="C100" s="21"/>
      <c r="D100" s="21"/>
      <c r="E100" s="21"/>
      <c r="F100" s="21"/>
      <c r="G100" s="21"/>
      <c r="H100" s="21"/>
      <c r="I100" s="21"/>
      <c r="J100" s="21"/>
      <c r="K100" s="21"/>
      <c r="L100" s="21"/>
      <c r="M100" s="21"/>
      <c r="N100" s="21"/>
      <c r="O100" s="21"/>
      <c r="P100" s="21"/>
      <c r="Q100" s="21" t="s">
        <v>175</v>
      </c>
    </row>
    <row r="101" spans="1:17">
      <c r="A101" s="21"/>
      <c r="B101" s="21"/>
      <c r="C101" s="21"/>
      <c r="D101" s="21"/>
      <c r="E101" s="21"/>
      <c r="F101" s="21"/>
      <c r="G101" s="21"/>
      <c r="H101" s="21"/>
      <c r="I101" s="21"/>
      <c r="J101" s="21"/>
      <c r="K101" s="21"/>
      <c r="L101" s="21"/>
      <c r="M101" s="21"/>
      <c r="N101" s="21"/>
      <c r="O101" s="21"/>
      <c r="P101" s="21"/>
      <c r="Q101" s="21" t="s">
        <v>175</v>
      </c>
    </row>
    <row r="102" spans="1:17">
      <c r="A102" s="21"/>
      <c r="B102" s="21"/>
      <c r="C102" s="21"/>
      <c r="D102" s="21"/>
      <c r="E102" s="21"/>
      <c r="F102" s="21"/>
      <c r="G102" s="21"/>
      <c r="H102" s="21"/>
      <c r="I102" s="21"/>
      <c r="J102" s="21"/>
      <c r="K102" s="21"/>
      <c r="L102" s="21"/>
      <c r="M102" s="21"/>
      <c r="N102" s="21"/>
      <c r="O102" s="21"/>
      <c r="P102" s="21"/>
      <c r="Q102" s="21" t="s">
        <v>175</v>
      </c>
    </row>
    <row r="103" spans="1:17">
      <c r="A103" s="21"/>
      <c r="B103" s="21"/>
      <c r="C103" s="21"/>
      <c r="D103" s="21"/>
      <c r="E103" s="21"/>
      <c r="F103" s="21"/>
      <c r="G103" s="21"/>
      <c r="H103" s="21"/>
      <c r="I103" s="21"/>
      <c r="J103" s="21"/>
      <c r="K103" s="21"/>
      <c r="L103" s="21"/>
      <c r="M103" s="21"/>
      <c r="N103" s="21"/>
      <c r="O103" s="21"/>
      <c r="P103" s="21"/>
      <c r="Q103" s="21" t="s">
        <v>175</v>
      </c>
    </row>
    <row r="104" spans="1:17">
      <c r="A104" s="21"/>
      <c r="B104" s="21"/>
      <c r="C104" s="21"/>
      <c r="D104" s="21"/>
      <c r="E104" s="21"/>
      <c r="F104" s="21"/>
      <c r="G104" s="21"/>
      <c r="H104" s="21"/>
      <c r="I104" s="21"/>
      <c r="J104" s="21"/>
      <c r="K104" s="21"/>
      <c r="L104" s="21"/>
      <c r="M104" s="21"/>
      <c r="N104" s="21"/>
      <c r="O104" s="21"/>
      <c r="P104" s="21"/>
      <c r="Q104" s="21" t="s">
        <v>175</v>
      </c>
    </row>
    <row r="105" spans="1:17">
      <c r="A105" s="21"/>
      <c r="B105" s="21"/>
      <c r="C105" s="21"/>
      <c r="D105" s="21"/>
      <c r="E105" s="21"/>
      <c r="F105" s="21"/>
      <c r="G105" s="21"/>
      <c r="H105" s="21"/>
      <c r="I105" s="21"/>
      <c r="J105" s="21"/>
      <c r="K105" s="21"/>
      <c r="L105" s="21"/>
      <c r="M105" s="21"/>
      <c r="N105" s="21"/>
      <c r="O105" s="21"/>
      <c r="P105" s="21"/>
      <c r="Q105" s="21" t="s">
        <v>175</v>
      </c>
    </row>
    <row r="106" spans="1:17">
      <c r="A106" s="21"/>
      <c r="B106" s="21"/>
      <c r="C106" s="21"/>
      <c r="D106" s="21"/>
      <c r="E106" s="21"/>
      <c r="F106" s="21"/>
      <c r="G106" s="21"/>
      <c r="H106" s="21"/>
      <c r="I106" s="21"/>
      <c r="J106" s="21"/>
      <c r="K106" s="21"/>
      <c r="L106" s="21"/>
      <c r="M106" s="21"/>
      <c r="N106" s="21"/>
      <c r="O106" s="21"/>
      <c r="P106" s="21"/>
      <c r="Q106" s="21" t="s">
        <v>175</v>
      </c>
    </row>
    <row r="107" spans="1:17">
      <c r="A107" s="21"/>
      <c r="B107" s="21"/>
      <c r="C107" s="21"/>
      <c r="D107" s="21"/>
      <c r="E107" s="21"/>
      <c r="F107" s="21"/>
      <c r="G107" s="21"/>
      <c r="H107" s="21"/>
      <c r="I107" s="21"/>
      <c r="J107" s="21"/>
      <c r="K107" s="21"/>
      <c r="L107" s="21"/>
      <c r="M107" s="21"/>
      <c r="N107" s="21"/>
      <c r="O107" s="21"/>
      <c r="P107" s="21"/>
      <c r="Q107" s="21" t="s">
        <v>175</v>
      </c>
    </row>
    <row r="108" spans="1:17">
      <c r="A108" s="21"/>
      <c r="B108" s="21"/>
      <c r="C108" s="21"/>
      <c r="D108" s="21"/>
      <c r="E108" s="21"/>
      <c r="F108" s="21"/>
      <c r="G108" s="21"/>
      <c r="H108" s="21"/>
      <c r="I108" s="21"/>
      <c r="J108" s="21"/>
      <c r="K108" s="21"/>
      <c r="L108" s="21"/>
      <c r="M108" s="21"/>
      <c r="N108" s="21"/>
      <c r="O108" s="21"/>
      <c r="P108" s="21"/>
      <c r="Q108" s="21" t="s">
        <v>175</v>
      </c>
    </row>
    <row r="109" spans="1:17">
      <c r="A109" s="21"/>
      <c r="B109" s="21"/>
      <c r="C109" s="21"/>
      <c r="D109" s="21"/>
      <c r="E109" s="21"/>
      <c r="F109" s="21"/>
      <c r="G109" s="21"/>
      <c r="H109" s="21"/>
      <c r="I109" s="21"/>
      <c r="J109" s="21"/>
      <c r="K109" s="21"/>
      <c r="L109" s="21"/>
      <c r="M109" s="21"/>
      <c r="N109" s="21"/>
      <c r="O109" s="21"/>
      <c r="P109" s="21"/>
      <c r="Q109" s="21" t="s">
        <v>175</v>
      </c>
    </row>
    <row r="110" spans="1:17">
      <c r="A110" s="21"/>
      <c r="B110" s="21"/>
      <c r="C110" s="21"/>
      <c r="D110" s="21"/>
      <c r="E110" s="21"/>
      <c r="F110" s="21"/>
      <c r="G110" s="21"/>
      <c r="H110" s="21"/>
      <c r="I110" s="21"/>
      <c r="J110" s="21"/>
      <c r="K110" s="21"/>
      <c r="L110" s="21"/>
      <c r="M110" s="21"/>
      <c r="N110" s="21"/>
      <c r="O110" s="21"/>
      <c r="P110" s="21"/>
      <c r="Q110" s="21" t="s">
        <v>175</v>
      </c>
    </row>
    <row r="111" spans="1:17">
      <c r="A111" s="21"/>
      <c r="B111" s="21"/>
      <c r="C111" s="21"/>
      <c r="D111" s="21"/>
      <c r="E111" s="21"/>
      <c r="F111" s="21"/>
      <c r="G111" s="21"/>
      <c r="H111" s="21"/>
      <c r="I111" s="21"/>
      <c r="J111" s="21"/>
      <c r="K111" s="21"/>
      <c r="L111" s="21"/>
      <c r="M111" s="21"/>
      <c r="N111" s="21"/>
      <c r="O111" s="21"/>
      <c r="P111" s="21"/>
      <c r="Q111" s="21" t="s">
        <v>175</v>
      </c>
    </row>
    <row r="112" spans="1:17">
      <c r="A112" s="21"/>
      <c r="B112" s="21"/>
      <c r="C112" s="21"/>
      <c r="D112" s="21"/>
      <c r="E112" s="21"/>
      <c r="F112" s="21"/>
      <c r="G112" s="21"/>
      <c r="H112" s="21"/>
      <c r="I112" s="21"/>
      <c r="J112" s="21"/>
      <c r="K112" s="21"/>
      <c r="L112" s="21"/>
      <c r="M112" s="21"/>
      <c r="N112" s="21"/>
      <c r="O112" s="21"/>
      <c r="P112" s="21"/>
      <c r="Q112" s="21" t="s">
        <v>175</v>
      </c>
    </row>
    <row r="113" spans="1:17">
      <c r="A113" s="21"/>
      <c r="B113" s="21"/>
      <c r="C113" s="21"/>
      <c r="D113" s="21"/>
      <c r="E113" s="21"/>
      <c r="F113" s="21"/>
      <c r="G113" s="21"/>
      <c r="H113" s="21"/>
      <c r="I113" s="21"/>
      <c r="J113" s="21"/>
      <c r="K113" s="21"/>
      <c r="L113" s="21"/>
      <c r="M113" s="21"/>
      <c r="N113" s="21"/>
      <c r="O113" s="21"/>
      <c r="P113" s="21"/>
      <c r="Q113" s="21" t="s">
        <v>175</v>
      </c>
    </row>
    <row r="114" spans="1:17">
      <c r="A114" s="21"/>
      <c r="B114" s="21"/>
      <c r="C114" s="21"/>
      <c r="D114" s="21"/>
      <c r="E114" s="21"/>
      <c r="F114" s="21"/>
      <c r="G114" s="21"/>
      <c r="H114" s="21"/>
      <c r="I114" s="21"/>
      <c r="J114" s="21"/>
      <c r="K114" s="21"/>
      <c r="L114" s="21"/>
      <c r="M114" s="21"/>
      <c r="N114" s="21"/>
      <c r="O114" s="21"/>
      <c r="P114" s="21"/>
      <c r="Q114" s="21" t="s">
        <v>175</v>
      </c>
    </row>
    <row r="115" spans="1:17">
      <c r="A115" s="21"/>
      <c r="B115" s="21"/>
      <c r="C115" s="21"/>
      <c r="D115" s="21"/>
      <c r="E115" s="21"/>
      <c r="F115" s="21"/>
      <c r="G115" s="21"/>
      <c r="H115" s="21"/>
      <c r="I115" s="21"/>
      <c r="J115" s="21"/>
      <c r="K115" s="21"/>
      <c r="L115" s="21"/>
      <c r="M115" s="21"/>
      <c r="N115" s="21"/>
      <c r="O115" s="21"/>
      <c r="P115" s="21"/>
      <c r="Q115" s="21" t="s">
        <v>175</v>
      </c>
    </row>
    <row r="116" spans="1:17">
      <c r="A116" s="21"/>
      <c r="B116" s="21"/>
      <c r="C116" s="21"/>
      <c r="D116" s="21"/>
      <c r="E116" s="21"/>
      <c r="F116" s="21"/>
      <c r="G116" s="21"/>
      <c r="H116" s="21"/>
      <c r="I116" s="21"/>
      <c r="J116" s="21"/>
      <c r="K116" s="21"/>
      <c r="L116" s="21"/>
      <c r="M116" s="21"/>
      <c r="N116" s="21"/>
      <c r="O116" s="21"/>
      <c r="P116" s="21"/>
      <c r="Q116" s="21" t="s">
        <v>175</v>
      </c>
    </row>
    <row r="117" spans="1:17">
      <c r="A117" s="21"/>
      <c r="B117" s="21"/>
      <c r="C117" s="21"/>
      <c r="D117" s="21"/>
      <c r="E117" s="21"/>
      <c r="F117" s="21"/>
      <c r="G117" s="21"/>
      <c r="H117" s="21"/>
      <c r="I117" s="21"/>
      <c r="J117" s="21"/>
      <c r="K117" s="21"/>
      <c r="L117" s="21"/>
      <c r="M117" s="21"/>
      <c r="N117" s="21"/>
      <c r="O117" s="21"/>
      <c r="P117" s="21"/>
      <c r="Q117" s="21" t="s">
        <v>175</v>
      </c>
    </row>
    <row r="118" spans="1:17">
      <c r="A118" s="21"/>
      <c r="B118" s="21"/>
      <c r="C118" s="21"/>
      <c r="D118" s="21"/>
      <c r="E118" s="21"/>
      <c r="F118" s="21"/>
      <c r="G118" s="21"/>
      <c r="H118" s="21"/>
      <c r="I118" s="21"/>
      <c r="J118" s="21"/>
      <c r="K118" s="21"/>
      <c r="L118" s="21"/>
      <c r="M118" s="21"/>
      <c r="N118" s="21"/>
      <c r="O118" s="21"/>
      <c r="P118" s="21"/>
      <c r="Q118" s="21" t="s">
        <v>175</v>
      </c>
    </row>
    <row r="119" spans="1:17">
      <c r="A119" s="21"/>
      <c r="B119" s="21"/>
      <c r="C119" s="21"/>
      <c r="D119" s="21"/>
      <c r="E119" s="21"/>
      <c r="F119" s="21"/>
      <c r="G119" s="21"/>
      <c r="H119" s="21"/>
      <c r="I119" s="21"/>
      <c r="J119" s="21"/>
      <c r="K119" s="21"/>
      <c r="L119" s="21"/>
      <c r="M119" s="21"/>
      <c r="N119" s="21"/>
      <c r="O119" s="21"/>
      <c r="P119" s="21"/>
      <c r="Q119" s="21" t="s">
        <v>175</v>
      </c>
    </row>
    <row r="120" spans="1:17">
      <c r="A120" s="21"/>
      <c r="B120" s="21"/>
      <c r="C120" s="21"/>
      <c r="D120" s="21"/>
      <c r="E120" s="21"/>
      <c r="F120" s="21"/>
      <c r="G120" s="21"/>
      <c r="H120" s="21"/>
      <c r="I120" s="21"/>
      <c r="J120" s="21"/>
      <c r="K120" s="21"/>
      <c r="L120" s="21"/>
      <c r="M120" s="21"/>
      <c r="N120" s="21"/>
      <c r="O120" s="21"/>
      <c r="P120" s="21"/>
      <c r="Q120" s="21" t="s">
        <v>175</v>
      </c>
    </row>
    <row r="121" spans="1:17">
      <c r="A121" s="21"/>
      <c r="B121" s="21"/>
      <c r="C121" s="21"/>
      <c r="D121" s="21"/>
      <c r="E121" s="21"/>
      <c r="F121" s="21"/>
      <c r="G121" s="21"/>
      <c r="H121" s="21"/>
      <c r="I121" s="21"/>
      <c r="J121" s="21"/>
      <c r="K121" s="21"/>
      <c r="L121" s="21"/>
      <c r="M121" s="21"/>
      <c r="N121" s="21"/>
      <c r="O121" s="21"/>
      <c r="P121" s="21"/>
      <c r="Q121" s="21" t="s">
        <v>175</v>
      </c>
    </row>
    <row r="122" spans="1:17">
      <c r="A122" s="21"/>
      <c r="B122" s="21"/>
      <c r="C122" s="21"/>
      <c r="D122" s="21"/>
      <c r="E122" s="21"/>
      <c r="F122" s="21"/>
      <c r="G122" s="21"/>
      <c r="H122" s="21"/>
      <c r="I122" s="21"/>
      <c r="J122" s="21"/>
      <c r="K122" s="21"/>
      <c r="L122" s="21"/>
      <c r="M122" s="21"/>
      <c r="N122" s="21"/>
      <c r="O122" s="21"/>
      <c r="P122" s="21"/>
      <c r="Q122" s="21" t="s">
        <v>175</v>
      </c>
    </row>
    <row r="123" spans="1:17">
      <c r="A123" s="21"/>
      <c r="B123" s="21"/>
      <c r="C123" s="21"/>
      <c r="D123" s="21"/>
      <c r="E123" s="21"/>
      <c r="F123" s="21"/>
      <c r="G123" s="21"/>
      <c r="H123" s="21"/>
      <c r="I123" s="21"/>
      <c r="J123" s="21"/>
      <c r="K123" s="21"/>
      <c r="L123" s="21"/>
      <c r="M123" s="21"/>
      <c r="N123" s="21"/>
      <c r="O123" s="21"/>
      <c r="P123" s="21"/>
      <c r="Q123" s="21" t="s">
        <v>175</v>
      </c>
    </row>
    <row r="124" spans="1:17">
      <c r="A124" s="21"/>
      <c r="B124" s="21"/>
      <c r="C124" s="21"/>
      <c r="D124" s="21"/>
      <c r="E124" s="21"/>
      <c r="F124" s="21"/>
      <c r="G124" s="21"/>
      <c r="H124" s="21"/>
      <c r="I124" s="21"/>
      <c r="J124" s="21"/>
      <c r="K124" s="21"/>
      <c r="L124" s="21"/>
      <c r="M124" s="21"/>
      <c r="N124" s="21"/>
      <c r="O124" s="21"/>
      <c r="P124" s="21"/>
      <c r="Q124" s="21" t="s">
        <v>175</v>
      </c>
    </row>
    <row r="125" spans="1:17">
      <c r="A125" s="21"/>
      <c r="B125" s="21"/>
      <c r="C125" s="21"/>
      <c r="D125" s="21"/>
      <c r="E125" s="21"/>
      <c r="F125" s="21"/>
      <c r="G125" s="21"/>
      <c r="H125" s="21"/>
      <c r="I125" s="21"/>
      <c r="J125" s="21"/>
      <c r="K125" s="21"/>
      <c r="L125" s="21"/>
      <c r="M125" s="21"/>
      <c r="N125" s="21"/>
      <c r="O125" s="21"/>
      <c r="P125" s="21"/>
      <c r="Q125" s="21" t="s">
        <v>175</v>
      </c>
    </row>
    <row r="126" spans="1:17">
      <c r="A126" s="21"/>
      <c r="B126" s="21"/>
      <c r="C126" s="21"/>
      <c r="D126" s="21"/>
      <c r="E126" s="21"/>
      <c r="F126" s="21"/>
      <c r="G126" s="21"/>
      <c r="H126" s="21"/>
      <c r="I126" s="21"/>
      <c r="J126" s="21"/>
      <c r="K126" s="21"/>
      <c r="L126" s="21"/>
      <c r="M126" s="21"/>
      <c r="N126" s="21"/>
      <c r="O126" s="21"/>
      <c r="P126" s="21"/>
      <c r="Q126" s="21" t="s">
        <v>175</v>
      </c>
    </row>
    <row r="127" spans="1:17">
      <c r="A127" s="21"/>
      <c r="B127" s="21"/>
      <c r="C127" s="21"/>
      <c r="D127" s="21"/>
      <c r="E127" s="21"/>
      <c r="F127" s="21"/>
      <c r="G127" s="21"/>
      <c r="H127" s="21"/>
      <c r="I127" s="21"/>
      <c r="J127" s="21"/>
      <c r="K127" s="21"/>
      <c r="L127" s="21"/>
      <c r="M127" s="21"/>
      <c r="N127" s="21"/>
      <c r="O127" s="21"/>
      <c r="P127" s="21"/>
      <c r="Q127" s="21" t="s">
        <v>175</v>
      </c>
    </row>
    <row r="128" spans="1:17">
      <c r="A128" s="21"/>
      <c r="B128" s="21"/>
      <c r="C128" s="21"/>
      <c r="D128" s="21"/>
      <c r="E128" s="21"/>
      <c r="F128" s="21"/>
      <c r="G128" s="21"/>
      <c r="H128" s="21"/>
      <c r="I128" s="21"/>
      <c r="J128" s="21"/>
      <c r="K128" s="21"/>
      <c r="L128" s="21"/>
      <c r="M128" s="21"/>
      <c r="N128" s="21"/>
      <c r="O128" s="21"/>
      <c r="P128" s="21"/>
      <c r="Q128" s="21" t="s">
        <v>175</v>
      </c>
    </row>
    <row r="129" spans="1:17">
      <c r="A129" s="21"/>
      <c r="B129" s="21"/>
      <c r="C129" s="21"/>
      <c r="D129" s="21"/>
      <c r="E129" s="21"/>
      <c r="F129" s="21"/>
      <c r="G129" s="21"/>
      <c r="H129" s="21"/>
      <c r="I129" s="21"/>
      <c r="J129" s="21"/>
      <c r="K129" s="21"/>
      <c r="L129" s="21"/>
      <c r="M129" s="21"/>
      <c r="N129" s="21"/>
      <c r="O129" s="21"/>
      <c r="P129" s="21"/>
      <c r="Q129" s="21" t="s">
        <v>175</v>
      </c>
    </row>
    <row r="130" spans="1:17">
      <c r="A130" s="21"/>
      <c r="B130" s="21"/>
      <c r="C130" s="21"/>
      <c r="D130" s="21"/>
      <c r="E130" s="21"/>
      <c r="F130" s="21"/>
      <c r="G130" s="21"/>
      <c r="H130" s="21"/>
      <c r="I130" s="21"/>
      <c r="J130" s="21"/>
      <c r="K130" s="21"/>
      <c r="L130" s="21"/>
      <c r="M130" s="21"/>
      <c r="N130" s="21"/>
      <c r="O130" s="21"/>
      <c r="P130" s="21"/>
      <c r="Q130" s="21" t="s">
        <v>175</v>
      </c>
    </row>
    <row r="131" spans="1:17">
      <c r="A131" s="21"/>
      <c r="B131" s="21"/>
      <c r="C131" s="21"/>
      <c r="D131" s="21"/>
      <c r="E131" s="21"/>
      <c r="F131" s="21"/>
      <c r="G131" s="21"/>
      <c r="H131" s="21"/>
      <c r="I131" s="21"/>
      <c r="J131" s="21"/>
      <c r="K131" s="21"/>
      <c r="L131" s="21"/>
      <c r="M131" s="21"/>
      <c r="N131" s="21"/>
      <c r="O131" s="21"/>
      <c r="P131" s="21"/>
      <c r="Q131" s="21" t="s">
        <v>175</v>
      </c>
    </row>
    <row r="132" spans="1:17">
      <c r="A132" s="21"/>
      <c r="B132" s="21"/>
      <c r="C132" s="21"/>
      <c r="D132" s="21"/>
      <c r="E132" s="21"/>
      <c r="F132" s="21"/>
      <c r="G132" s="21"/>
      <c r="H132" s="21"/>
      <c r="I132" s="21"/>
      <c r="J132" s="21"/>
      <c r="K132" s="21"/>
      <c r="L132" s="21"/>
      <c r="M132" s="21"/>
      <c r="N132" s="21"/>
      <c r="O132" s="21"/>
      <c r="P132" s="21"/>
      <c r="Q132" s="21" t="s">
        <v>175</v>
      </c>
    </row>
    <row r="133" spans="1:17">
      <c r="A133" s="21"/>
      <c r="B133" s="21"/>
      <c r="C133" s="21"/>
      <c r="D133" s="21"/>
      <c r="E133" s="21"/>
      <c r="F133" s="21"/>
      <c r="G133" s="21"/>
      <c r="H133" s="21"/>
      <c r="I133" s="21"/>
      <c r="J133" s="21"/>
      <c r="K133" s="21"/>
      <c r="L133" s="21"/>
      <c r="M133" s="21"/>
      <c r="N133" s="21"/>
      <c r="O133" s="21"/>
      <c r="P133" s="21"/>
      <c r="Q133" s="21" t="s">
        <v>175</v>
      </c>
    </row>
    <row r="134" spans="1:17">
      <c r="A134" s="21"/>
      <c r="B134" s="21"/>
      <c r="C134" s="21"/>
      <c r="D134" s="21"/>
      <c r="E134" s="21"/>
      <c r="F134" s="21"/>
      <c r="G134" s="21"/>
      <c r="H134" s="21"/>
      <c r="I134" s="21"/>
      <c r="J134" s="21"/>
      <c r="K134" s="21"/>
      <c r="L134" s="21"/>
      <c r="M134" s="21"/>
      <c r="N134" s="21"/>
      <c r="O134" s="21"/>
      <c r="P134" s="21"/>
      <c r="Q134" s="21" t="s">
        <v>175</v>
      </c>
    </row>
    <row r="135" spans="1:17">
      <c r="A135" s="21"/>
      <c r="B135" s="21"/>
      <c r="C135" s="21"/>
      <c r="D135" s="21"/>
      <c r="E135" s="21"/>
      <c r="F135" s="21"/>
      <c r="G135" s="21"/>
      <c r="H135" s="21"/>
      <c r="I135" s="21"/>
      <c r="J135" s="21"/>
      <c r="K135" s="21"/>
      <c r="L135" s="21"/>
      <c r="M135" s="21"/>
      <c r="N135" s="21"/>
      <c r="O135" s="21"/>
      <c r="P135" s="21"/>
      <c r="Q135" s="21" t="s">
        <v>175</v>
      </c>
    </row>
    <row r="136" spans="1:17">
      <c r="A136" s="21"/>
      <c r="B136" s="21"/>
      <c r="C136" s="21"/>
      <c r="D136" s="21"/>
      <c r="E136" s="21"/>
      <c r="F136" s="21"/>
      <c r="G136" s="21"/>
      <c r="H136" s="21"/>
      <c r="I136" s="21"/>
      <c r="J136" s="21"/>
      <c r="K136" s="21"/>
      <c r="L136" s="21"/>
      <c r="M136" s="21"/>
      <c r="N136" s="21"/>
      <c r="O136" s="21"/>
      <c r="P136" s="21"/>
      <c r="Q136" s="21" t="s">
        <v>175</v>
      </c>
    </row>
    <row r="137" spans="1:17">
      <c r="A137" s="21"/>
      <c r="B137" s="21"/>
      <c r="C137" s="21"/>
      <c r="D137" s="21"/>
      <c r="E137" s="21"/>
      <c r="F137" s="21"/>
      <c r="G137" s="21"/>
      <c r="H137" s="21"/>
      <c r="I137" s="21"/>
      <c r="J137" s="21"/>
      <c r="K137" s="21"/>
      <c r="L137" s="21"/>
      <c r="M137" s="21"/>
      <c r="N137" s="21"/>
      <c r="O137" s="21"/>
      <c r="P137" s="21"/>
      <c r="Q137" s="21" t="s">
        <v>175</v>
      </c>
    </row>
    <row r="138" spans="1:17">
      <c r="A138" s="21"/>
      <c r="B138" s="21"/>
      <c r="C138" s="21"/>
      <c r="D138" s="21"/>
      <c r="E138" s="21"/>
      <c r="F138" s="21"/>
      <c r="G138" s="21"/>
      <c r="H138" s="21"/>
      <c r="I138" s="21"/>
      <c r="J138" s="21"/>
      <c r="K138" s="21"/>
      <c r="L138" s="21"/>
      <c r="M138" s="21"/>
      <c r="N138" s="21"/>
      <c r="O138" s="21"/>
      <c r="P138" s="21"/>
      <c r="Q138" s="21" t="s">
        <v>175</v>
      </c>
    </row>
    <row r="139" spans="1:17">
      <c r="A139" s="21"/>
      <c r="B139" s="21"/>
      <c r="C139" s="21"/>
      <c r="D139" s="21"/>
      <c r="E139" s="21"/>
      <c r="F139" s="21"/>
      <c r="G139" s="21"/>
      <c r="H139" s="21"/>
      <c r="I139" s="21"/>
      <c r="J139" s="21"/>
      <c r="K139" s="21"/>
      <c r="L139" s="21"/>
      <c r="M139" s="21"/>
      <c r="N139" s="21"/>
      <c r="O139" s="21"/>
      <c r="P139" s="21"/>
      <c r="Q139" s="21" t="s">
        <v>175</v>
      </c>
    </row>
    <row r="140" spans="1:17">
      <c r="A140" s="21"/>
      <c r="B140" s="21"/>
      <c r="C140" s="21"/>
      <c r="D140" s="21"/>
      <c r="E140" s="21"/>
      <c r="F140" s="21"/>
      <c r="G140" s="21"/>
      <c r="H140" s="21"/>
      <c r="I140" s="21"/>
      <c r="J140" s="21"/>
      <c r="K140" s="21"/>
      <c r="L140" s="21"/>
      <c r="M140" s="21"/>
      <c r="N140" s="21"/>
      <c r="O140" s="21"/>
      <c r="P140" s="21"/>
      <c r="Q140" s="21" t="s">
        <v>175</v>
      </c>
    </row>
    <row r="141" spans="1:17">
      <c r="A141" s="21"/>
      <c r="B141" s="21"/>
      <c r="C141" s="21"/>
      <c r="D141" s="21"/>
      <c r="E141" s="21"/>
      <c r="F141" s="21"/>
      <c r="G141" s="21"/>
      <c r="H141" s="21"/>
      <c r="I141" s="21"/>
      <c r="J141" s="21"/>
      <c r="K141" s="21"/>
      <c r="L141" s="21"/>
      <c r="M141" s="21"/>
      <c r="N141" s="21"/>
      <c r="O141" s="21"/>
      <c r="P141" s="21"/>
      <c r="Q141" s="21" t="s">
        <v>175</v>
      </c>
    </row>
    <row r="142" spans="1:17">
      <c r="A142" s="21"/>
      <c r="B142" s="21"/>
      <c r="C142" s="21"/>
      <c r="D142" s="21"/>
      <c r="E142" s="21"/>
      <c r="F142" s="21"/>
      <c r="G142" s="21"/>
      <c r="H142" s="21"/>
      <c r="I142" s="21"/>
      <c r="J142" s="21"/>
      <c r="K142" s="21"/>
      <c r="L142" s="21"/>
      <c r="M142" s="21"/>
      <c r="N142" s="21"/>
      <c r="O142" s="21"/>
      <c r="P142" s="21"/>
      <c r="Q142" s="21" t="s">
        <v>175</v>
      </c>
    </row>
    <row r="143" spans="1:17">
      <c r="A143" s="21"/>
      <c r="B143" s="21"/>
      <c r="C143" s="21"/>
      <c r="D143" s="21"/>
      <c r="E143" s="21"/>
      <c r="F143" s="21"/>
      <c r="G143" s="21"/>
      <c r="H143" s="21"/>
      <c r="I143" s="21"/>
      <c r="J143" s="21"/>
      <c r="K143" s="21"/>
      <c r="L143" s="21"/>
      <c r="M143" s="21"/>
      <c r="N143" s="21"/>
      <c r="O143" s="21"/>
      <c r="P143" s="21"/>
      <c r="Q143" s="21" t="s">
        <v>175</v>
      </c>
    </row>
    <row r="144" spans="1:17">
      <c r="A144" s="21"/>
      <c r="B144" s="21"/>
      <c r="C144" s="21"/>
      <c r="D144" s="21"/>
      <c r="E144" s="21"/>
      <c r="F144" s="21"/>
      <c r="G144" s="21"/>
      <c r="H144" s="21"/>
      <c r="I144" s="21"/>
      <c r="J144" s="21"/>
      <c r="K144" s="21"/>
      <c r="L144" s="21"/>
      <c r="M144" s="21"/>
      <c r="N144" s="21"/>
      <c r="O144" s="21"/>
      <c r="P144" s="21"/>
      <c r="Q144" s="21" t="s">
        <v>175</v>
      </c>
    </row>
    <row r="145" spans="1:17">
      <c r="A145" s="21"/>
      <c r="B145" s="21"/>
      <c r="C145" s="21"/>
      <c r="D145" s="21"/>
      <c r="E145" s="21"/>
      <c r="F145" s="21"/>
      <c r="G145" s="21"/>
      <c r="H145" s="21"/>
      <c r="I145" s="21"/>
      <c r="J145" s="21"/>
      <c r="K145" s="21"/>
      <c r="L145" s="21"/>
      <c r="M145" s="21"/>
      <c r="N145" s="21"/>
      <c r="O145" s="21"/>
      <c r="P145" s="21"/>
      <c r="Q145" s="21" t="s">
        <v>175</v>
      </c>
    </row>
    <row r="146" spans="1:17">
      <c r="A146" s="21"/>
      <c r="B146" s="21"/>
      <c r="C146" s="21"/>
      <c r="D146" s="21"/>
      <c r="E146" s="21"/>
      <c r="F146" s="21"/>
      <c r="G146" s="21"/>
      <c r="H146" s="21"/>
      <c r="I146" s="21"/>
      <c r="J146" s="21"/>
      <c r="K146" s="21"/>
      <c r="L146" s="21"/>
      <c r="M146" s="21"/>
      <c r="N146" s="21"/>
      <c r="O146" s="21"/>
      <c r="P146" s="21"/>
      <c r="Q146" s="21" t="s">
        <v>175</v>
      </c>
    </row>
    <row r="147" spans="1:17">
      <c r="A147" s="21"/>
      <c r="B147" s="21"/>
      <c r="C147" s="21"/>
      <c r="D147" s="21"/>
      <c r="E147" s="21"/>
      <c r="F147" s="21"/>
      <c r="G147" s="21"/>
      <c r="H147" s="21"/>
      <c r="I147" s="21"/>
      <c r="J147" s="21"/>
      <c r="K147" s="21"/>
      <c r="L147" s="21"/>
      <c r="M147" s="21"/>
      <c r="N147" s="21"/>
      <c r="O147" s="21"/>
      <c r="P147" s="21"/>
      <c r="Q147" s="21" t="s">
        <v>175</v>
      </c>
    </row>
    <row r="148" spans="1:17">
      <c r="A148" s="21"/>
      <c r="B148" s="21"/>
      <c r="C148" s="21"/>
      <c r="D148" s="21"/>
      <c r="E148" s="21"/>
      <c r="F148" s="21"/>
      <c r="G148" s="21"/>
      <c r="H148" s="21"/>
      <c r="I148" s="21"/>
      <c r="J148" s="21"/>
      <c r="K148" s="21"/>
      <c r="L148" s="21"/>
      <c r="M148" s="21"/>
      <c r="N148" s="21"/>
      <c r="O148" s="21"/>
      <c r="P148" s="21"/>
      <c r="Q148" s="21" t="s">
        <v>175</v>
      </c>
    </row>
    <row r="149" spans="1:17">
      <c r="A149" s="21"/>
      <c r="B149" s="21"/>
      <c r="C149" s="21"/>
      <c r="D149" s="21"/>
      <c r="E149" s="21"/>
      <c r="F149" s="21"/>
      <c r="G149" s="21"/>
      <c r="H149" s="21"/>
      <c r="I149" s="21"/>
      <c r="J149" s="21"/>
      <c r="K149" s="21"/>
      <c r="L149" s="21"/>
      <c r="M149" s="21"/>
      <c r="N149" s="21"/>
      <c r="O149" s="21"/>
      <c r="P149" s="21"/>
      <c r="Q149" s="21" t="s">
        <v>175</v>
      </c>
    </row>
    <row r="150" spans="1:17">
      <c r="A150" s="21"/>
      <c r="B150" s="21"/>
      <c r="C150" s="21"/>
      <c r="D150" s="21"/>
      <c r="E150" s="21"/>
      <c r="F150" s="21"/>
      <c r="G150" s="21"/>
      <c r="H150" s="21"/>
      <c r="I150" s="21"/>
      <c r="J150" s="21"/>
      <c r="K150" s="21"/>
      <c r="L150" s="21"/>
      <c r="M150" s="21"/>
      <c r="N150" s="21"/>
      <c r="O150" s="21"/>
      <c r="P150" s="21"/>
      <c r="Q150" s="21" t="s">
        <v>175</v>
      </c>
    </row>
    <row r="151" spans="1:17">
      <c r="A151" s="21"/>
      <c r="B151" s="21"/>
      <c r="C151" s="21"/>
      <c r="D151" s="21"/>
      <c r="E151" s="21"/>
      <c r="F151" s="21"/>
      <c r="G151" s="21"/>
      <c r="H151" s="21"/>
      <c r="I151" s="21"/>
      <c r="J151" s="21"/>
      <c r="K151" s="21"/>
      <c r="L151" s="21"/>
      <c r="M151" s="21"/>
      <c r="N151" s="21"/>
      <c r="O151" s="21"/>
      <c r="P151" s="21"/>
      <c r="Q151" s="21" t="s">
        <v>175</v>
      </c>
    </row>
    <row r="152" spans="1:17">
      <c r="A152" s="21"/>
      <c r="B152" s="21"/>
      <c r="C152" s="21"/>
      <c r="D152" s="21"/>
      <c r="E152" s="21"/>
      <c r="F152" s="21"/>
      <c r="G152" s="21"/>
      <c r="H152" s="21"/>
      <c r="I152" s="21"/>
      <c r="J152" s="21"/>
      <c r="K152" s="21"/>
      <c r="L152" s="21"/>
      <c r="M152" s="21"/>
      <c r="N152" s="21"/>
      <c r="O152" s="21"/>
      <c r="P152" s="21"/>
      <c r="Q152" s="21" t="s">
        <v>175</v>
      </c>
    </row>
    <row r="153" spans="1:17">
      <c r="A153" s="21"/>
      <c r="B153" s="21"/>
      <c r="C153" s="21"/>
      <c r="D153" s="21"/>
      <c r="E153" s="21"/>
      <c r="F153" s="21"/>
      <c r="G153" s="21"/>
      <c r="H153" s="21"/>
      <c r="I153" s="21"/>
      <c r="J153" s="21"/>
      <c r="K153" s="21"/>
      <c r="L153" s="21"/>
      <c r="M153" s="21"/>
      <c r="N153" s="21"/>
      <c r="O153" s="21"/>
      <c r="P153" s="21"/>
      <c r="Q153" s="21" t="s">
        <v>175</v>
      </c>
    </row>
    <row r="154" spans="1:17">
      <c r="A154" s="21"/>
      <c r="B154" s="21"/>
      <c r="C154" s="21"/>
      <c r="D154" s="21"/>
      <c r="E154" s="21"/>
      <c r="F154" s="21"/>
      <c r="G154" s="21"/>
      <c r="H154" s="21"/>
      <c r="I154" s="21"/>
      <c r="J154" s="21"/>
      <c r="K154" s="21"/>
      <c r="L154" s="21"/>
      <c r="M154" s="21"/>
      <c r="N154" s="21"/>
      <c r="O154" s="21"/>
      <c r="P154" s="21"/>
      <c r="Q154" s="21" t="s">
        <v>175</v>
      </c>
    </row>
    <row r="155" spans="1:17">
      <c r="A155" s="21"/>
      <c r="B155" s="21"/>
      <c r="C155" s="21"/>
      <c r="D155" s="21"/>
      <c r="E155" s="21"/>
      <c r="F155" s="21"/>
      <c r="G155" s="21"/>
      <c r="H155" s="21"/>
      <c r="I155" s="21"/>
      <c r="J155" s="21"/>
      <c r="K155" s="21"/>
      <c r="L155" s="21"/>
      <c r="M155" s="21"/>
      <c r="N155" s="21"/>
      <c r="O155" s="21"/>
      <c r="P155" s="21"/>
      <c r="Q155" s="21" t="s">
        <v>175</v>
      </c>
    </row>
    <row r="156" spans="1:17">
      <c r="A156" s="21"/>
      <c r="B156" s="21"/>
      <c r="C156" s="21"/>
      <c r="D156" s="21"/>
      <c r="E156" s="21"/>
      <c r="F156" s="21"/>
      <c r="G156" s="21"/>
      <c r="H156" s="21"/>
      <c r="I156" s="21"/>
      <c r="J156" s="21"/>
      <c r="K156" s="21"/>
      <c r="L156" s="21"/>
      <c r="M156" s="21"/>
      <c r="N156" s="21"/>
      <c r="O156" s="21"/>
      <c r="P156" s="21"/>
      <c r="Q156" s="21" t="s">
        <v>175</v>
      </c>
    </row>
    <row r="157" spans="1:17">
      <c r="A157" s="21"/>
      <c r="B157" s="21"/>
      <c r="C157" s="21"/>
      <c r="D157" s="21"/>
      <c r="E157" s="21"/>
      <c r="F157" s="21"/>
      <c r="G157" s="21"/>
      <c r="H157" s="21"/>
      <c r="I157" s="21"/>
      <c r="J157" s="21"/>
      <c r="K157" s="21"/>
      <c r="L157" s="21"/>
      <c r="M157" s="21"/>
      <c r="N157" s="21"/>
      <c r="O157" s="21"/>
      <c r="P157" s="21"/>
      <c r="Q157" s="21" t="s">
        <v>175</v>
      </c>
    </row>
    <row r="158" spans="1:17">
      <c r="A158" s="21"/>
      <c r="B158" s="21"/>
      <c r="C158" s="21"/>
      <c r="D158" s="21"/>
      <c r="E158" s="21"/>
      <c r="F158" s="21"/>
      <c r="G158" s="21"/>
      <c r="H158" s="21"/>
      <c r="I158" s="21"/>
      <c r="J158" s="21"/>
      <c r="K158" s="21"/>
      <c r="L158" s="21"/>
      <c r="M158" s="21"/>
      <c r="N158" s="21"/>
      <c r="O158" s="21"/>
      <c r="P158" s="21"/>
      <c r="Q158" s="21" t="s">
        <v>175</v>
      </c>
    </row>
    <row r="159" spans="1:17">
      <c r="A159" s="21"/>
      <c r="B159" s="21"/>
      <c r="C159" s="21"/>
      <c r="D159" s="21"/>
      <c r="E159" s="21"/>
      <c r="F159" s="21"/>
      <c r="G159" s="21"/>
      <c r="H159" s="21"/>
      <c r="I159" s="21"/>
      <c r="J159" s="21"/>
      <c r="K159" s="21"/>
      <c r="L159" s="21"/>
      <c r="M159" s="21"/>
      <c r="N159" s="21"/>
      <c r="O159" s="21"/>
      <c r="P159" s="21"/>
      <c r="Q159" s="21" t="s">
        <v>175</v>
      </c>
    </row>
    <row r="160" spans="1:17">
      <c r="A160" s="21"/>
      <c r="B160" s="21"/>
      <c r="C160" s="21"/>
      <c r="D160" s="21"/>
      <c r="E160" s="21"/>
      <c r="F160" s="21"/>
      <c r="G160" s="21"/>
      <c r="H160" s="21"/>
      <c r="I160" s="21"/>
      <c r="J160" s="21"/>
      <c r="K160" s="21"/>
      <c r="L160" s="21"/>
      <c r="M160" s="21"/>
      <c r="N160" s="21"/>
      <c r="O160" s="21"/>
      <c r="P160" s="21"/>
      <c r="Q160" s="21" t="s">
        <v>175</v>
      </c>
    </row>
    <row r="161" spans="1:17">
      <c r="A161" s="21"/>
      <c r="B161" s="21"/>
      <c r="C161" s="21"/>
      <c r="D161" s="21"/>
      <c r="E161" s="21"/>
      <c r="F161" s="21"/>
      <c r="G161" s="21"/>
      <c r="H161" s="21"/>
      <c r="I161" s="21"/>
      <c r="J161" s="21"/>
      <c r="K161" s="21"/>
      <c r="L161" s="21"/>
      <c r="M161" s="21"/>
      <c r="N161" s="21"/>
      <c r="O161" s="21"/>
      <c r="P161" s="21"/>
      <c r="Q161" s="21" t="s">
        <v>175</v>
      </c>
    </row>
    <row r="162" spans="1:17">
      <c r="A162" s="21"/>
      <c r="B162" s="21"/>
      <c r="C162" s="21"/>
      <c r="D162" s="21"/>
      <c r="E162" s="21"/>
      <c r="F162" s="21"/>
      <c r="G162" s="21"/>
      <c r="H162" s="21"/>
      <c r="I162" s="21"/>
      <c r="J162" s="21"/>
      <c r="K162" s="21"/>
      <c r="L162" s="21"/>
      <c r="M162" s="21"/>
      <c r="N162" s="21"/>
      <c r="O162" s="21"/>
      <c r="P162" s="21"/>
      <c r="Q162" s="21" t="s">
        <v>175</v>
      </c>
    </row>
    <row r="163" spans="1:17">
      <c r="A163" s="21"/>
      <c r="B163" s="21"/>
      <c r="C163" s="21"/>
      <c r="D163" s="21"/>
      <c r="E163" s="21"/>
      <c r="F163" s="21"/>
      <c r="G163" s="21"/>
      <c r="H163" s="21"/>
      <c r="I163" s="21"/>
      <c r="J163" s="21"/>
      <c r="K163" s="21"/>
      <c r="L163" s="21"/>
      <c r="M163" s="21"/>
      <c r="N163" s="21"/>
      <c r="O163" s="21"/>
      <c r="P163" s="21"/>
      <c r="Q163" s="21" t="s">
        <v>175</v>
      </c>
    </row>
    <row r="164" spans="1:17">
      <c r="A164" s="21"/>
      <c r="B164" s="21"/>
      <c r="C164" s="21"/>
      <c r="D164" s="21"/>
      <c r="E164" s="21"/>
      <c r="F164" s="21"/>
      <c r="G164" s="21"/>
      <c r="H164" s="21"/>
      <c r="I164" s="21"/>
      <c r="J164" s="21"/>
      <c r="K164" s="21"/>
      <c r="L164" s="21"/>
      <c r="M164" s="21"/>
      <c r="N164" s="21"/>
      <c r="O164" s="21"/>
      <c r="P164" s="21"/>
      <c r="Q164" s="21" t="s">
        <v>175</v>
      </c>
    </row>
    <row r="165" spans="1:17">
      <c r="A165" s="21"/>
      <c r="B165" s="21"/>
      <c r="C165" s="21"/>
      <c r="D165" s="21"/>
      <c r="E165" s="21"/>
      <c r="F165" s="21"/>
      <c r="G165" s="21"/>
      <c r="H165" s="21"/>
      <c r="I165" s="21"/>
      <c r="J165" s="21"/>
      <c r="K165" s="21"/>
      <c r="L165" s="21"/>
      <c r="M165" s="21"/>
      <c r="N165" s="21"/>
      <c r="O165" s="21"/>
      <c r="P165" s="21"/>
      <c r="Q165" s="21" t="s">
        <v>175</v>
      </c>
    </row>
    <row r="166" spans="1:17">
      <c r="A166" s="21"/>
      <c r="B166" s="21"/>
      <c r="C166" s="21"/>
      <c r="D166" s="21"/>
      <c r="E166" s="21"/>
      <c r="F166" s="21"/>
      <c r="G166" s="21"/>
      <c r="H166" s="21"/>
      <c r="I166" s="21"/>
      <c r="J166" s="21"/>
      <c r="K166" s="21"/>
      <c r="L166" s="21"/>
      <c r="M166" s="21"/>
      <c r="N166" s="21"/>
      <c r="O166" s="21"/>
      <c r="P166" s="21"/>
      <c r="Q166" s="21" t="s">
        <v>175</v>
      </c>
    </row>
    <row r="167" spans="1:17">
      <c r="A167" s="21"/>
      <c r="B167" s="21"/>
      <c r="C167" s="21"/>
      <c r="D167" s="21"/>
      <c r="E167" s="21"/>
      <c r="F167" s="21"/>
      <c r="G167" s="21"/>
      <c r="H167" s="21"/>
      <c r="I167" s="21"/>
      <c r="J167" s="21"/>
      <c r="K167" s="21"/>
      <c r="L167" s="21"/>
      <c r="M167" s="21"/>
      <c r="N167" s="21"/>
      <c r="O167" s="21"/>
      <c r="P167" s="21"/>
      <c r="Q167" s="21" t="s">
        <v>175</v>
      </c>
    </row>
    <row r="168" spans="1:17">
      <c r="A168" s="21"/>
      <c r="B168" s="21"/>
      <c r="C168" s="21"/>
      <c r="D168" s="21"/>
      <c r="E168" s="21"/>
      <c r="F168" s="21"/>
      <c r="G168" s="21"/>
      <c r="H168" s="21"/>
      <c r="I168" s="21"/>
      <c r="J168" s="21"/>
      <c r="K168" s="21"/>
      <c r="L168" s="21"/>
      <c r="M168" s="21"/>
      <c r="N168" s="21"/>
      <c r="O168" s="21"/>
      <c r="P168" s="21"/>
      <c r="Q168" s="21" t="s">
        <v>175</v>
      </c>
    </row>
    <row r="169" spans="1:17">
      <c r="A169" s="21"/>
      <c r="B169" s="21"/>
      <c r="C169" s="21"/>
      <c r="D169" s="21"/>
      <c r="E169" s="21"/>
      <c r="F169" s="21"/>
      <c r="G169" s="21"/>
      <c r="H169" s="21"/>
      <c r="I169" s="21"/>
      <c r="J169" s="21"/>
      <c r="K169" s="21"/>
      <c r="L169" s="21"/>
      <c r="M169" s="21"/>
      <c r="N169" s="21"/>
      <c r="O169" s="21"/>
      <c r="P169" s="21"/>
      <c r="Q169" s="21" t="s">
        <v>175</v>
      </c>
    </row>
    <row r="170" spans="1:17">
      <c r="A170" s="21"/>
      <c r="B170" s="21"/>
      <c r="C170" s="21"/>
      <c r="D170" s="21"/>
      <c r="E170" s="21"/>
      <c r="F170" s="21"/>
      <c r="G170" s="21"/>
      <c r="H170" s="21"/>
      <c r="I170" s="21"/>
      <c r="J170" s="21"/>
      <c r="K170" s="21"/>
      <c r="L170" s="21"/>
      <c r="M170" s="21"/>
      <c r="N170" s="21"/>
      <c r="O170" s="21"/>
      <c r="P170" s="21"/>
      <c r="Q170" s="21" t="s">
        <v>175</v>
      </c>
    </row>
    <row r="171" spans="1:17">
      <c r="A171" s="21"/>
      <c r="B171" s="21"/>
      <c r="C171" s="21"/>
      <c r="D171" s="21"/>
      <c r="E171" s="21"/>
      <c r="F171" s="21"/>
      <c r="G171" s="21"/>
      <c r="H171" s="21"/>
      <c r="I171" s="21"/>
      <c r="J171" s="21"/>
      <c r="K171" s="21"/>
      <c r="L171" s="21"/>
      <c r="M171" s="21"/>
      <c r="N171" s="21"/>
      <c r="O171" s="21"/>
      <c r="P171" s="21"/>
      <c r="Q171" s="21" t="s">
        <v>175</v>
      </c>
    </row>
    <row r="172" spans="1:17">
      <c r="A172" s="21"/>
      <c r="B172" s="21"/>
      <c r="C172" s="21"/>
      <c r="D172" s="21"/>
      <c r="E172" s="21"/>
      <c r="F172" s="21"/>
      <c r="G172" s="21"/>
      <c r="H172" s="21"/>
      <c r="I172" s="21"/>
      <c r="J172" s="21"/>
      <c r="K172" s="21"/>
      <c r="L172" s="21"/>
      <c r="M172" s="21"/>
      <c r="N172" s="21"/>
      <c r="O172" s="21"/>
      <c r="P172" s="21"/>
      <c r="Q172" s="21" t="s">
        <v>175</v>
      </c>
    </row>
    <row r="173" spans="1:17">
      <c r="A173" s="21"/>
      <c r="B173" s="21"/>
      <c r="C173" s="21"/>
      <c r="D173" s="21"/>
      <c r="E173" s="21"/>
      <c r="F173" s="21"/>
      <c r="G173" s="21"/>
      <c r="H173" s="21"/>
      <c r="I173" s="21"/>
      <c r="J173" s="21"/>
      <c r="K173" s="21"/>
      <c r="L173" s="21"/>
      <c r="M173" s="21"/>
      <c r="N173" s="21"/>
      <c r="O173" s="21"/>
      <c r="P173" s="21"/>
      <c r="Q173" s="21" t="s">
        <v>175</v>
      </c>
    </row>
    <row r="174" spans="1:17">
      <c r="A174" s="21"/>
      <c r="B174" s="21"/>
      <c r="C174" s="21"/>
      <c r="D174" s="21"/>
      <c r="E174" s="21"/>
      <c r="F174" s="21"/>
      <c r="G174" s="21"/>
      <c r="H174" s="21"/>
      <c r="I174" s="21"/>
      <c r="J174" s="21"/>
      <c r="K174" s="21"/>
      <c r="L174" s="21"/>
      <c r="M174" s="21"/>
      <c r="N174" s="21"/>
      <c r="O174" s="21"/>
      <c r="P174" s="21"/>
      <c r="Q174" s="21" t="s">
        <v>175</v>
      </c>
    </row>
    <row r="175" spans="1:17">
      <c r="A175" s="21"/>
      <c r="B175" s="21"/>
      <c r="C175" s="21"/>
      <c r="D175" s="21"/>
      <c r="E175" s="21"/>
      <c r="F175" s="21"/>
      <c r="G175" s="21"/>
      <c r="H175" s="21"/>
      <c r="I175" s="21"/>
      <c r="J175" s="21"/>
      <c r="K175" s="21"/>
      <c r="L175" s="21"/>
      <c r="M175" s="21"/>
      <c r="N175" s="21"/>
      <c r="O175" s="21"/>
      <c r="P175" s="21"/>
      <c r="Q175" s="21" t="s">
        <v>175</v>
      </c>
    </row>
    <row r="176" spans="1:17">
      <c r="A176" s="21"/>
      <c r="B176" s="21"/>
      <c r="C176" s="21"/>
      <c r="D176" s="21"/>
      <c r="E176" s="21"/>
      <c r="F176" s="21"/>
      <c r="G176" s="21"/>
      <c r="H176" s="21"/>
      <c r="I176" s="21"/>
      <c r="J176" s="21"/>
      <c r="K176" s="21"/>
      <c r="L176" s="21"/>
      <c r="M176" s="21"/>
      <c r="N176" s="21"/>
      <c r="O176" s="21"/>
      <c r="P176" s="21"/>
      <c r="Q176" s="21" t="s">
        <v>175</v>
      </c>
    </row>
    <row r="177" spans="1:17">
      <c r="A177" s="21"/>
      <c r="B177" s="21"/>
      <c r="C177" s="21"/>
      <c r="D177" s="21"/>
      <c r="E177" s="21"/>
      <c r="F177" s="21"/>
      <c r="G177" s="21"/>
      <c r="H177" s="21"/>
      <c r="I177" s="21"/>
      <c r="J177" s="21"/>
      <c r="K177" s="21"/>
      <c r="L177" s="21"/>
      <c r="M177" s="21"/>
      <c r="N177" s="21"/>
      <c r="O177" s="21"/>
      <c r="P177" s="21"/>
      <c r="Q177" s="21" t="s">
        <v>175</v>
      </c>
    </row>
    <row r="178" spans="1:17">
      <c r="A178" s="21"/>
      <c r="B178" s="21"/>
      <c r="C178" s="21"/>
      <c r="D178" s="21"/>
      <c r="E178" s="21"/>
      <c r="F178" s="21"/>
      <c r="G178" s="21"/>
      <c r="H178" s="21"/>
      <c r="I178" s="21"/>
      <c r="J178" s="21"/>
      <c r="K178" s="21"/>
      <c r="L178" s="21"/>
      <c r="M178" s="21"/>
      <c r="N178" s="21"/>
      <c r="O178" s="21"/>
      <c r="P178" s="21"/>
      <c r="Q178" s="21" t="s">
        <v>175</v>
      </c>
    </row>
    <row r="179" spans="1:17">
      <c r="A179" s="21"/>
      <c r="B179" s="21"/>
      <c r="C179" s="21"/>
      <c r="D179" s="21"/>
      <c r="E179" s="21"/>
      <c r="F179" s="21"/>
      <c r="G179" s="21"/>
      <c r="H179" s="21"/>
      <c r="I179" s="21"/>
      <c r="J179" s="21"/>
      <c r="K179" s="21"/>
      <c r="L179" s="21"/>
      <c r="M179" s="21"/>
      <c r="N179" s="21"/>
      <c r="O179" s="21"/>
      <c r="P179" s="21"/>
      <c r="Q179" s="21" t="s">
        <v>175</v>
      </c>
    </row>
    <row r="180" spans="1:17">
      <c r="A180" s="21"/>
      <c r="B180" s="21"/>
      <c r="C180" s="21"/>
      <c r="D180" s="21"/>
      <c r="E180" s="21"/>
      <c r="F180" s="21"/>
      <c r="G180" s="21"/>
      <c r="H180" s="21"/>
      <c r="I180" s="21"/>
      <c r="J180" s="21"/>
      <c r="K180" s="21"/>
      <c r="L180" s="21"/>
      <c r="M180" s="21"/>
      <c r="N180" s="21"/>
      <c r="O180" s="21"/>
      <c r="P180" s="21"/>
      <c r="Q180" s="21" t="s">
        <v>175</v>
      </c>
    </row>
    <row r="181" spans="1:17">
      <c r="A181" s="21"/>
      <c r="B181" s="21"/>
      <c r="C181" s="21"/>
      <c r="D181" s="21"/>
      <c r="E181" s="21"/>
      <c r="F181" s="21"/>
      <c r="G181" s="21"/>
      <c r="H181" s="21"/>
      <c r="I181" s="21"/>
      <c r="J181" s="21"/>
      <c r="K181" s="21"/>
      <c r="L181" s="21"/>
      <c r="M181" s="21"/>
      <c r="N181" s="21"/>
      <c r="O181" s="21"/>
      <c r="P181" s="21"/>
      <c r="Q181" s="21" t="s">
        <v>175</v>
      </c>
    </row>
    <row r="182" spans="1:17">
      <c r="A182" s="21"/>
      <c r="B182" s="21"/>
      <c r="C182" s="21"/>
      <c r="D182" s="21"/>
      <c r="E182" s="21"/>
      <c r="F182" s="21"/>
      <c r="G182" s="21"/>
      <c r="H182" s="21"/>
      <c r="I182" s="21"/>
      <c r="J182" s="21"/>
      <c r="K182" s="21"/>
      <c r="L182" s="21"/>
      <c r="M182" s="21"/>
      <c r="N182" s="21"/>
      <c r="O182" s="21"/>
      <c r="P182" s="21"/>
      <c r="Q182" s="21" t="s">
        <v>175</v>
      </c>
    </row>
    <row r="183" spans="1:17">
      <c r="A183" s="21"/>
      <c r="B183" s="21"/>
      <c r="C183" s="21"/>
      <c r="D183" s="21"/>
      <c r="E183" s="21"/>
      <c r="F183" s="21"/>
      <c r="G183" s="21"/>
      <c r="H183" s="21"/>
      <c r="I183" s="21"/>
      <c r="J183" s="21"/>
      <c r="K183" s="21"/>
      <c r="L183" s="21"/>
      <c r="M183" s="21"/>
      <c r="N183" s="21"/>
      <c r="O183" s="21"/>
      <c r="P183" s="21"/>
      <c r="Q183" s="21" t="s">
        <v>175</v>
      </c>
    </row>
    <row r="184" spans="1:17">
      <c r="A184" s="21"/>
      <c r="B184" s="21"/>
      <c r="C184" s="21"/>
      <c r="D184" s="21"/>
      <c r="E184" s="21"/>
      <c r="F184" s="21"/>
      <c r="G184" s="21"/>
      <c r="H184" s="21"/>
      <c r="I184" s="21"/>
      <c r="J184" s="21"/>
      <c r="K184" s="21"/>
      <c r="L184" s="21"/>
      <c r="M184" s="21"/>
      <c r="N184" s="21"/>
      <c r="O184" s="21"/>
      <c r="P184" s="21"/>
      <c r="Q184" s="21" t="s">
        <v>175</v>
      </c>
    </row>
    <row r="185" spans="1:17">
      <c r="A185" s="21"/>
      <c r="B185" s="21"/>
      <c r="C185" s="21"/>
      <c r="D185" s="21"/>
      <c r="E185" s="21"/>
      <c r="F185" s="21"/>
      <c r="G185" s="21"/>
      <c r="H185" s="21"/>
      <c r="I185" s="21"/>
      <c r="J185" s="21"/>
      <c r="K185" s="21"/>
      <c r="L185" s="21"/>
      <c r="M185" s="21"/>
      <c r="N185" s="21"/>
      <c r="O185" s="21"/>
      <c r="P185" s="21"/>
      <c r="Q185" s="21" t="s">
        <v>175</v>
      </c>
    </row>
    <row r="186" spans="1:17">
      <c r="A186" s="21"/>
      <c r="B186" s="21"/>
      <c r="C186" s="21"/>
      <c r="D186" s="21"/>
      <c r="E186" s="21"/>
      <c r="F186" s="21"/>
      <c r="G186" s="21"/>
      <c r="H186" s="21"/>
      <c r="I186" s="21"/>
      <c r="J186" s="21"/>
      <c r="K186" s="21"/>
      <c r="L186" s="21"/>
      <c r="M186" s="21"/>
      <c r="N186" s="21"/>
      <c r="O186" s="21"/>
      <c r="P186" s="21"/>
      <c r="Q186" s="21" t="s">
        <v>175</v>
      </c>
    </row>
    <row r="187" spans="1:17">
      <c r="A187" s="21"/>
      <c r="B187" s="21"/>
      <c r="C187" s="21"/>
      <c r="D187" s="21"/>
      <c r="E187" s="21"/>
      <c r="F187" s="21"/>
      <c r="G187" s="21"/>
      <c r="H187" s="21"/>
      <c r="I187" s="21"/>
      <c r="J187" s="21"/>
      <c r="K187" s="21"/>
      <c r="L187" s="21"/>
      <c r="M187" s="21"/>
      <c r="N187" s="21"/>
      <c r="O187" s="21"/>
      <c r="P187" s="21"/>
      <c r="Q187" s="21" t="s">
        <v>175</v>
      </c>
    </row>
    <row r="188" spans="1:17">
      <c r="A188" s="21"/>
      <c r="B188" s="21"/>
      <c r="C188" s="21"/>
      <c r="D188" s="21"/>
      <c r="E188" s="21"/>
      <c r="F188" s="21"/>
      <c r="G188" s="21"/>
      <c r="H188" s="21"/>
      <c r="I188" s="21"/>
      <c r="J188" s="21"/>
      <c r="K188" s="21"/>
      <c r="L188" s="21"/>
      <c r="M188" s="21"/>
      <c r="N188" s="21"/>
      <c r="O188" s="21"/>
      <c r="P188" s="21"/>
      <c r="Q188" s="21" t="s">
        <v>175</v>
      </c>
    </row>
    <row r="189" spans="1:17">
      <c r="A189" s="21"/>
      <c r="B189" s="21"/>
      <c r="C189" s="21"/>
      <c r="D189" s="21"/>
      <c r="E189" s="21"/>
      <c r="F189" s="21"/>
      <c r="G189" s="21"/>
      <c r="H189" s="21"/>
      <c r="I189" s="21"/>
      <c r="J189" s="21"/>
      <c r="K189" s="21"/>
      <c r="L189" s="21"/>
      <c r="M189" s="21"/>
      <c r="N189" s="21"/>
      <c r="O189" s="21"/>
      <c r="P189" s="21"/>
      <c r="Q189" s="21" t="s">
        <v>175</v>
      </c>
    </row>
    <row r="190" spans="1:17">
      <c r="A190" s="21"/>
      <c r="B190" s="21"/>
      <c r="C190" s="21"/>
      <c r="D190" s="21"/>
      <c r="E190" s="21"/>
      <c r="F190" s="21"/>
      <c r="G190" s="21"/>
      <c r="H190" s="21"/>
      <c r="I190" s="21"/>
      <c r="J190" s="21"/>
      <c r="K190" s="21"/>
      <c r="L190" s="21"/>
      <c r="M190" s="21"/>
      <c r="N190" s="21"/>
      <c r="O190" s="21"/>
      <c r="P190" s="21"/>
      <c r="Q190" s="21" t="s">
        <v>175</v>
      </c>
    </row>
    <row r="191" spans="1:17">
      <c r="A191" s="21"/>
      <c r="B191" s="21"/>
      <c r="C191" s="21"/>
      <c r="D191" s="21"/>
      <c r="E191" s="21"/>
      <c r="F191" s="21"/>
      <c r="G191" s="21"/>
      <c r="H191" s="21"/>
      <c r="I191" s="21"/>
      <c r="J191" s="21"/>
      <c r="K191" s="21"/>
      <c r="L191" s="21"/>
      <c r="M191" s="21"/>
      <c r="N191" s="21"/>
      <c r="O191" s="21"/>
      <c r="P191" s="21"/>
      <c r="Q191" s="21" t="s">
        <v>175</v>
      </c>
    </row>
    <row r="192" spans="1:17">
      <c r="A192" s="21"/>
      <c r="B192" s="21"/>
      <c r="C192" s="21"/>
      <c r="D192" s="21"/>
      <c r="E192" s="21"/>
      <c r="F192" s="21"/>
      <c r="G192" s="21"/>
      <c r="H192" s="21"/>
      <c r="I192" s="21"/>
      <c r="J192" s="21"/>
      <c r="K192" s="21"/>
      <c r="L192" s="21"/>
      <c r="M192" s="21"/>
      <c r="N192" s="21"/>
      <c r="O192" s="21"/>
      <c r="P192" s="21"/>
      <c r="Q192" s="21" t="s">
        <v>175</v>
      </c>
    </row>
    <row r="193" spans="1:17">
      <c r="A193" s="21"/>
      <c r="B193" s="21"/>
      <c r="C193" s="21"/>
      <c r="D193" s="21"/>
      <c r="E193" s="21"/>
      <c r="F193" s="21"/>
      <c r="G193" s="21"/>
      <c r="H193" s="21"/>
      <c r="I193" s="21"/>
      <c r="J193" s="21"/>
      <c r="K193" s="21"/>
      <c r="L193" s="21"/>
      <c r="M193" s="21"/>
      <c r="N193" s="21"/>
      <c r="O193" s="21"/>
      <c r="P193" s="21"/>
      <c r="Q193" s="21" t="s">
        <v>175</v>
      </c>
    </row>
    <row r="194" spans="1:17">
      <c r="A194" s="21"/>
      <c r="B194" s="21"/>
      <c r="C194" s="21"/>
      <c r="D194" s="21"/>
      <c r="E194" s="21"/>
      <c r="F194" s="21"/>
      <c r="G194" s="21"/>
      <c r="H194" s="21"/>
      <c r="I194" s="21"/>
      <c r="J194" s="21"/>
      <c r="K194" s="21"/>
      <c r="L194" s="21"/>
      <c r="M194" s="21"/>
      <c r="N194" s="21"/>
      <c r="O194" s="21"/>
      <c r="P194" s="21"/>
      <c r="Q194" s="21" t="s">
        <v>175</v>
      </c>
    </row>
    <row r="195" spans="1:17">
      <c r="A195" s="21"/>
      <c r="B195" s="21"/>
      <c r="C195" s="21"/>
      <c r="D195" s="21"/>
      <c r="E195" s="21"/>
      <c r="F195" s="21"/>
      <c r="G195" s="21"/>
      <c r="H195" s="21"/>
      <c r="I195" s="21"/>
      <c r="J195" s="21"/>
      <c r="K195" s="21"/>
      <c r="L195" s="21"/>
      <c r="M195" s="21"/>
      <c r="N195" s="21"/>
      <c r="O195" s="21"/>
      <c r="P195" s="21"/>
      <c r="Q195" s="21" t="s">
        <v>175</v>
      </c>
    </row>
    <row r="196" spans="1:17">
      <c r="A196" s="21"/>
      <c r="B196" s="21"/>
      <c r="C196" s="21"/>
      <c r="D196" s="21"/>
      <c r="E196" s="21"/>
      <c r="F196" s="21"/>
      <c r="G196" s="21"/>
      <c r="H196" s="21"/>
      <c r="I196" s="21"/>
      <c r="J196" s="21"/>
      <c r="K196" s="21"/>
      <c r="L196" s="21"/>
      <c r="M196" s="21"/>
      <c r="N196" s="21"/>
      <c r="O196" s="21"/>
      <c r="P196" s="21"/>
      <c r="Q196" s="21" t="s">
        <v>175</v>
      </c>
    </row>
    <row r="197" spans="1:17">
      <c r="A197" s="21"/>
      <c r="B197" s="21"/>
      <c r="C197" s="21"/>
      <c r="D197" s="21"/>
      <c r="E197" s="21"/>
      <c r="F197" s="21"/>
      <c r="G197" s="21"/>
      <c r="H197" s="21"/>
      <c r="I197" s="21"/>
      <c r="J197" s="21"/>
      <c r="K197" s="21"/>
      <c r="L197" s="21"/>
      <c r="M197" s="21"/>
      <c r="N197" s="21"/>
      <c r="O197" s="21"/>
      <c r="P197" s="21"/>
      <c r="Q197" s="21" t="s">
        <v>175</v>
      </c>
    </row>
    <row r="198" spans="1:17">
      <c r="A198" s="21"/>
      <c r="B198" s="21"/>
      <c r="C198" s="21"/>
      <c r="D198" s="21"/>
      <c r="E198" s="21"/>
      <c r="F198" s="21"/>
      <c r="G198" s="21"/>
      <c r="H198" s="21"/>
      <c r="I198" s="21"/>
      <c r="J198" s="21"/>
      <c r="K198" s="21"/>
      <c r="L198" s="21"/>
      <c r="M198" s="21"/>
      <c r="N198" s="21"/>
      <c r="O198" s="21"/>
      <c r="P198" s="21"/>
      <c r="Q198" s="21" t="s">
        <v>175</v>
      </c>
    </row>
    <row r="199" spans="1:17">
      <c r="A199" s="21"/>
      <c r="B199" s="21"/>
      <c r="C199" s="21"/>
      <c r="D199" s="21"/>
      <c r="E199" s="21"/>
      <c r="F199" s="21"/>
      <c r="G199" s="21"/>
      <c r="H199" s="21"/>
      <c r="I199" s="21"/>
      <c r="J199" s="21"/>
      <c r="K199" s="21"/>
      <c r="L199" s="21"/>
      <c r="M199" s="21"/>
      <c r="N199" s="21"/>
      <c r="O199" s="21"/>
      <c r="P199" s="21"/>
      <c r="Q199" s="21" t="s">
        <v>175</v>
      </c>
    </row>
    <row r="200" spans="1:17">
      <c r="A200" s="21"/>
      <c r="B200" s="21"/>
      <c r="C200" s="21"/>
      <c r="D200" s="21"/>
      <c r="E200" s="21"/>
      <c r="F200" s="21"/>
      <c r="G200" s="21"/>
      <c r="H200" s="21"/>
      <c r="I200" s="21"/>
      <c r="J200" s="21"/>
      <c r="K200" s="21"/>
      <c r="L200" s="21"/>
      <c r="M200" s="21"/>
      <c r="N200" s="21"/>
      <c r="O200" s="21"/>
      <c r="P200" s="21"/>
      <c r="Q200" s="21" t="s">
        <v>175</v>
      </c>
    </row>
    <row r="201" spans="1:17">
      <c r="A201" s="21"/>
      <c r="B201" s="21"/>
      <c r="C201" s="21"/>
      <c r="D201" s="21"/>
      <c r="E201" s="21"/>
      <c r="F201" s="21"/>
      <c r="G201" s="21"/>
      <c r="H201" s="21"/>
      <c r="I201" s="21"/>
      <c r="J201" s="21"/>
      <c r="K201" s="21"/>
      <c r="L201" s="21"/>
      <c r="M201" s="21"/>
      <c r="N201" s="21"/>
      <c r="O201" s="21"/>
      <c r="P201" s="21"/>
      <c r="Q201" s="21" t="s">
        <v>175</v>
      </c>
    </row>
    <row r="202" spans="1:17">
      <c r="A202" s="21"/>
      <c r="B202" s="21"/>
      <c r="C202" s="21"/>
      <c r="D202" s="21"/>
      <c r="E202" s="21"/>
      <c r="F202" s="21"/>
      <c r="G202" s="21"/>
      <c r="H202" s="21"/>
      <c r="I202" s="21"/>
      <c r="J202" s="21"/>
      <c r="K202" s="21"/>
      <c r="L202" s="21"/>
      <c r="M202" s="21"/>
      <c r="N202" s="21"/>
      <c r="O202" s="21"/>
      <c r="P202" s="21"/>
      <c r="Q202" s="21" t="s">
        <v>175</v>
      </c>
    </row>
    <row r="203" spans="1:17">
      <c r="A203" s="21"/>
      <c r="B203" s="21"/>
      <c r="C203" s="21"/>
      <c r="D203" s="21"/>
      <c r="E203" s="21"/>
      <c r="F203" s="21"/>
      <c r="G203" s="21"/>
      <c r="H203" s="21"/>
      <c r="I203" s="21"/>
      <c r="J203" s="21"/>
      <c r="K203" s="21"/>
      <c r="L203" s="21"/>
      <c r="M203" s="21"/>
      <c r="N203" s="21"/>
      <c r="O203" s="21"/>
      <c r="P203" s="21"/>
      <c r="Q203" s="21" t="s">
        <v>175</v>
      </c>
    </row>
    <row r="204" spans="1:17">
      <c r="A204" s="21"/>
      <c r="B204" s="21"/>
      <c r="C204" s="21"/>
      <c r="D204" s="21"/>
      <c r="E204" s="21"/>
      <c r="F204" s="21"/>
      <c r="G204" s="21"/>
      <c r="H204" s="21"/>
      <c r="I204" s="21"/>
      <c r="J204" s="21"/>
      <c r="K204" s="21"/>
      <c r="L204" s="21"/>
      <c r="M204" s="21"/>
      <c r="N204" s="21"/>
      <c r="O204" s="21"/>
      <c r="P204" s="21"/>
      <c r="Q204" s="21" t="s">
        <v>175</v>
      </c>
    </row>
    <row r="205" spans="1:17">
      <c r="A205" s="21"/>
      <c r="B205" s="21"/>
      <c r="C205" s="21"/>
      <c r="D205" s="21"/>
      <c r="E205" s="21"/>
      <c r="F205" s="21"/>
      <c r="G205" s="21"/>
      <c r="H205" s="21"/>
      <c r="I205" s="21"/>
      <c r="J205" s="21"/>
      <c r="K205" s="21"/>
      <c r="L205" s="21"/>
      <c r="M205" s="21"/>
      <c r="N205" s="21"/>
      <c r="O205" s="21"/>
      <c r="P205" s="21"/>
      <c r="Q205" s="21" t="s">
        <v>175</v>
      </c>
    </row>
    <row r="206" spans="1:17">
      <c r="A206" s="21"/>
      <c r="B206" s="21"/>
      <c r="C206" s="21"/>
      <c r="D206" s="21"/>
      <c r="E206" s="21"/>
      <c r="F206" s="21"/>
      <c r="G206" s="21"/>
      <c r="H206" s="21"/>
      <c r="I206" s="21"/>
      <c r="J206" s="21"/>
      <c r="K206" s="21"/>
      <c r="L206" s="21"/>
      <c r="M206" s="21"/>
      <c r="N206" s="21"/>
      <c r="O206" s="21"/>
      <c r="P206" s="21"/>
      <c r="Q206" s="21" t="s">
        <v>175</v>
      </c>
    </row>
    <row r="207" spans="1:17">
      <c r="A207" s="21"/>
      <c r="B207" s="21"/>
      <c r="C207" s="21"/>
      <c r="D207" s="21"/>
      <c r="E207" s="21"/>
      <c r="F207" s="21"/>
      <c r="G207" s="21"/>
      <c r="H207" s="21"/>
      <c r="I207" s="21"/>
      <c r="J207" s="21"/>
      <c r="K207" s="21"/>
      <c r="L207" s="21"/>
      <c r="M207" s="21"/>
      <c r="N207" s="21"/>
      <c r="O207" s="21"/>
      <c r="P207" s="21"/>
      <c r="Q207" s="21" t="s">
        <v>175</v>
      </c>
    </row>
    <row r="208" spans="1:17">
      <c r="A208" s="21"/>
      <c r="B208" s="21"/>
      <c r="C208" s="21"/>
      <c r="D208" s="21"/>
      <c r="E208" s="21"/>
      <c r="F208" s="21"/>
      <c r="G208" s="21"/>
      <c r="H208" s="21"/>
      <c r="I208" s="21"/>
      <c r="J208" s="21"/>
      <c r="K208" s="21"/>
      <c r="L208" s="21"/>
      <c r="M208" s="21"/>
      <c r="N208" s="21"/>
      <c r="O208" s="21"/>
      <c r="P208" s="21"/>
      <c r="Q208" s="21" t="s">
        <v>175</v>
      </c>
    </row>
    <row r="209" spans="1:17">
      <c r="A209" s="21"/>
      <c r="B209" s="21"/>
      <c r="C209" s="21"/>
      <c r="D209" s="21"/>
      <c r="E209" s="21"/>
      <c r="F209" s="21"/>
      <c r="G209" s="21"/>
      <c r="H209" s="21"/>
      <c r="I209" s="21"/>
      <c r="J209" s="21"/>
      <c r="K209" s="21"/>
      <c r="L209" s="21"/>
      <c r="M209" s="21"/>
      <c r="N209" s="21"/>
      <c r="O209" s="21"/>
      <c r="P209" s="21"/>
      <c r="Q209" s="21" t="s">
        <v>175</v>
      </c>
    </row>
    <row r="210" spans="1:17">
      <c r="A210" s="21"/>
      <c r="B210" s="21"/>
      <c r="C210" s="21"/>
      <c r="D210" s="21"/>
      <c r="E210" s="21"/>
      <c r="F210" s="21"/>
      <c r="G210" s="21"/>
      <c r="H210" s="21"/>
      <c r="I210" s="21"/>
      <c r="J210" s="21"/>
      <c r="K210" s="21"/>
      <c r="L210" s="21"/>
      <c r="M210" s="21"/>
      <c r="N210" s="21"/>
      <c r="O210" s="21"/>
      <c r="P210" s="21"/>
      <c r="Q210" s="21" t="s">
        <v>175</v>
      </c>
    </row>
    <row r="211" spans="1:17">
      <c r="A211" s="21"/>
      <c r="B211" s="21"/>
      <c r="C211" s="21"/>
      <c r="D211" s="21"/>
      <c r="E211" s="21"/>
      <c r="F211" s="21"/>
      <c r="G211" s="21"/>
      <c r="H211" s="21"/>
      <c r="I211" s="21"/>
      <c r="J211" s="21"/>
      <c r="K211" s="21"/>
      <c r="L211" s="21"/>
      <c r="M211" s="21"/>
      <c r="N211" s="21"/>
      <c r="O211" s="21"/>
      <c r="P211" s="21"/>
      <c r="Q211" s="21" t="s">
        <v>175</v>
      </c>
    </row>
    <row r="212" spans="1:17">
      <c r="A212" s="21"/>
      <c r="B212" s="21"/>
      <c r="C212" s="21"/>
      <c r="D212" s="21"/>
      <c r="E212" s="21"/>
      <c r="F212" s="21"/>
      <c r="G212" s="21"/>
      <c r="H212" s="21"/>
      <c r="I212" s="21"/>
      <c r="J212" s="21"/>
      <c r="K212" s="21"/>
      <c r="L212" s="21"/>
      <c r="M212" s="21"/>
      <c r="N212" s="21"/>
      <c r="O212" s="21"/>
      <c r="P212" s="21"/>
      <c r="Q212" s="21" t="s">
        <v>175</v>
      </c>
    </row>
    <row r="213" spans="1:17">
      <c r="A213" s="21"/>
      <c r="B213" s="21"/>
      <c r="C213" s="21"/>
      <c r="D213" s="21"/>
      <c r="E213" s="21"/>
      <c r="F213" s="21"/>
      <c r="G213" s="21"/>
      <c r="H213" s="21"/>
      <c r="I213" s="21"/>
      <c r="J213" s="21"/>
      <c r="K213" s="21"/>
      <c r="L213" s="21"/>
      <c r="M213" s="21"/>
      <c r="N213" s="21"/>
      <c r="O213" s="21"/>
      <c r="P213" s="21"/>
      <c r="Q213" s="21" t="s">
        <v>175</v>
      </c>
    </row>
    <row r="214" spans="1:17">
      <c r="A214" s="21"/>
      <c r="B214" s="21"/>
      <c r="C214" s="21"/>
      <c r="D214" s="21"/>
      <c r="E214" s="21"/>
      <c r="F214" s="21"/>
      <c r="G214" s="21"/>
      <c r="H214" s="21"/>
      <c r="I214" s="21"/>
      <c r="J214" s="21"/>
      <c r="K214" s="21"/>
      <c r="L214" s="21"/>
      <c r="M214" s="21"/>
      <c r="N214" s="21"/>
      <c r="O214" s="21"/>
      <c r="P214" s="21"/>
      <c r="Q214" s="21" t="s">
        <v>175</v>
      </c>
    </row>
    <row r="215" spans="1:17">
      <c r="A215" s="21"/>
      <c r="B215" s="21"/>
      <c r="C215" s="21"/>
      <c r="D215" s="21"/>
      <c r="E215" s="21"/>
      <c r="F215" s="21"/>
      <c r="G215" s="21"/>
      <c r="H215" s="21"/>
      <c r="I215" s="21"/>
      <c r="J215" s="21"/>
      <c r="K215" s="21"/>
      <c r="L215" s="21"/>
      <c r="M215" s="21"/>
      <c r="N215" s="21"/>
      <c r="O215" s="21"/>
      <c r="P215" s="21"/>
      <c r="Q215" s="21" t="s">
        <v>175</v>
      </c>
    </row>
    <row r="216" spans="1:17">
      <c r="A216" s="21"/>
      <c r="B216" s="21"/>
      <c r="C216" s="21"/>
      <c r="D216" s="21"/>
      <c r="E216" s="21"/>
      <c r="F216" s="21"/>
      <c r="G216" s="21"/>
      <c r="H216" s="21"/>
      <c r="I216" s="21"/>
      <c r="J216" s="21"/>
      <c r="K216" s="21"/>
      <c r="L216" s="21"/>
      <c r="M216" s="21"/>
      <c r="N216" s="21"/>
      <c r="O216" s="21"/>
      <c r="P216" s="21"/>
      <c r="Q216" s="21" t="s">
        <v>175</v>
      </c>
    </row>
    <row r="217" spans="1:17">
      <c r="A217" s="21"/>
      <c r="B217" s="21"/>
      <c r="C217" s="21"/>
      <c r="D217" s="21"/>
      <c r="E217" s="21"/>
      <c r="F217" s="21"/>
      <c r="G217" s="21"/>
      <c r="H217" s="21"/>
      <c r="I217" s="21"/>
      <c r="J217" s="21"/>
      <c r="K217" s="21"/>
      <c r="L217" s="21"/>
      <c r="M217" s="21"/>
      <c r="N217" s="21"/>
      <c r="O217" s="21"/>
      <c r="P217" s="21"/>
      <c r="Q217" s="21" t="s">
        <v>175</v>
      </c>
    </row>
    <row r="218" spans="1:17">
      <c r="A218" s="21"/>
      <c r="B218" s="21"/>
      <c r="C218" s="21"/>
      <c r="D218" s="21"/>
      <c r="E218" s="21"/>
      <c r="F218" s="21"/>
      <c r="G218" s="21"/>
      <c r="H218" s="21"/>
      <c r="I218" s="21"/>
      <c r="J218" s="21"/>
      <c r="K218" s="21"/>
      <c r="L218" s="21"/>
      <c r="M218" s="21"/>
      <c r="N218" s="21"/>
      <c r="O218" s="21"/>
      <c r="P218" s="21"/>
      <c r="Q218" s="21" t="s">
        <v>175</v>
      </c>
    </row>
    <row r="219" spans="1:17">
      <c r="A219" s="21"/>
      <c r="B219" s="21"/>
      <c r="C219" s="21"/>
      <c r="D219" s="21"/>
      <c r="E219" s="21"/>
      <c r="F219" s="21"/>
      <c r="G219" s="21"/>
      <c r="H219" s="21"/>
      <c r="I219" s="21"/>
      <c r="J219" s="21"/>
      <c r="K219" s="21"/>
      <c r="L219" s="21"/>
      <c r="M219" s="21"/>
      <c r="N219" s="21"/>
      <c r="O219" s="21"/>
      <c r="P219" s="21"/>
      <c r="Q219" s="21" t="s">
        <v>175</v>
      </c>
    </row>
    <row r="220" spans="1:17">
      <c r="A220" s="21"/>
      <c r="B220" s="21"/>
      <c r="C220" s="21"/>
      <c r="D220" s="21"/>
      <c r="E220" s="21"/>
      <c r="F220" s="21"/>
      <c r="G220" s="21"/>
      <c r="H220" s="21"/>
      <c r="I220" s="21"/>
      <c r="J220" s="21"/>
      <c r="K220" s="21"/>
      <c r="L220" s="21"/>
      <c r="M220" s="21"/>
      <c r="N220" s="21"/>
      <c r="O220" s="21"/>
      <c r="P220" s="21"/>
      <c r="Q220" s="21" t="s">
        <v>175</v>
      </c>
    </row>
    <row r="221" spans="1:17">
      <c r="A221" s="21"/>
      <c r="B221" s="21"/>
      <c r="C221" s="21"/>
      <c r="D221" s="21"/>
      <c r="E221" s="21"/>
      <c r="F221" s="21"/>
      <c r="G221" s="21"/>
      <c r="H221" s="21"/>
      <c r="I221" s="21"/>
      <c r="J221" s="21"/>
      <c r="K221" s="21"/>
      <c r="L221" s="21"/>
      <c r="M221" s="21"/>
      <c r="N221" s="21"/>
      <c r="O221" s="21"/>
      <c r="P221" s="21"/>
      <c r="Q221" s="21" t="s">
        <v>175</v>
      </c>
    </row>
    <row r="222" spans="1:17">
      <c r="A222" s="21"/>
      <c r="B222" s="21"/>
      <c r="C222" s="21"/>
      <c r="D222" s="21"/>
      <c r="E222" s="21"/>
      <c r="F222" s="21"/>
      <c r="G222" s="21"/>
      <c r="H222" s="21"/>
      <c r="I222" s="21"/>
      <c r="J222" s="21"/>
      <c r="K222" s="21"/>
      <c r="L222" s="21"/>
      <c r="M222" s="21"/>
      <c r="N222" s="21"/>
      <c r="O222" s="21"/>
      <c r="P222" s="21"/>
      <c r="Q222" s="21" t="s">
        <v>175</v>
      </c>
    </row>
    <row r="223" spans="1:17">
      <c r="A223" s="21"/>
      <c r="B223" s="21"/>
      <c r="C223" s="21"/>
      <c r="D223" s="21"/>
      <c r="E223" s="21"/>
      <c r="F223" s="21"/>
      <c r="G223" s="21"/>
      <c r="H223" s="21"/>
      <c r="I223" s="21"/>
      <c r="J223" s="21"/>
      <c r="K223" s="21"/>
      <c r="L223" s="21"/>
      <c r="M223" s="21"/>
      <c r="N223" s="21"/>
      <c r="O223" s="21"/>
      <c r="P223" s="21"/>
      <c r="Q223" s="21" t="s">
        <v>175</v>
      </c>
    </row>
    <row r="224" spans="1:17">
      <c r="A224" s="21"/>
      <c r="B224" s="21"/>
      <c r="C224" s="21"/>
      <c r="D224" s="21"/>
      <c r="E224" s="21"/>
      <c r="F224" s="21"/>
      <c r="G224" s="21"/>
      <c r="H224" s="21"/>
      <c r="I224" s="21"/>
      <c r="J224" s="21"/>
      <c r="K224" s="21"/>
      <c r="L224" s="21"/>
      <c r="M224" s="21"/>
      <c r="N224" s="21"/>
      <c r="O224" s="21"/>
      <c r="P224" s="21"/>
      <c r="Q224" s="21" t="s">
        <v>175</v>
      </c>
    </row>
    <row r="225" spans="1:17">
      <c r="A225" s="21"/>
      <c r="B225" s="21"/>
      <c r="C225" s="21"/>
      <c r="D225" s="21"/>
      <c r="E225" s="21"/>
      <c r="F225" s="21"/>
      <c r="G225" s="21"/>
      <c r="H225" s="21"/>
      <c r="I225" s="21"/>
      <c r="J225" s="21"/>
      <c r="K225" s="21"/>
      <c r="L225" s="21"/>
      <c r="M225" s="21"/>
      <c r="N225" s="21"/>
      <c r="O225" s="21"/>
      <c r="P225" s="21"/>
      <c r="Q225" s="21" t="s">
        <v>175</v>
      </c>
    </row>
    <row r="226" spans="1:17">
      <c r="A226" s="21"/>
      <c r="B226" s="21"/>
      <c r="C226" s="21"/>
      <c r="D226" s="21"/>
      <c r="E226" s="21"/>
      <c r="F226" s="21"/>
      <c r="G226" s="21"/>
      <c r="H226" s="21"/>
      <c r="I226" s="21"/>
      <c r="J226" s="21"/>
      <c r="K226" s="21"/>
      <c r="L226" s="21"/>
      <c r="M226" s="21"/>
      <c r="N226" s="21"/>
      <c r="O226" s="21"/>
      <c r="P226" s="21"/>
      <c r="Q226" s="21" t="s">
        <v>175</v>
      </c>
    </row>
    <row r="227" spans="1:17">
      <c r="A227" s="21"/>
      <c r="B227" s="21"/>
      <c r="C227" s="21"/>
      <c r="D227" s="21"/>
      <c r="E227" s="21"/>
      <c r="F227" s="21"/>
      <c r="G227" s="21"/>
      <c r="H227" s="21"/>
      <c r="I227" s="21"/>
      <c r="J227" s="21"/>
      <c r="K227" s="21"/>
      <c r="L227" s="21"/>
      <c r="M227" s="21"/>
      <c r="N227" s="21"/>
      <c r="O227" s="21"/>
      <c r="P227" s="21"/>
      <c r="Q227" s="21" t="s">
        <v>175</v>
      </c>
    </row>
    <row r="228" spans="1:17">
      <c r="A228" s="21"/>
      <c r="B228" s="21"/>
      <c r="C228" s="21"/>
      <c r="D228" s="21"/>
      <c r="E228" s="21"/>
      <c r="F228" s="21"/>
      <c r="G228" s="21"/>
      <c r="H228" s="21"/>
      <c r="I228" s="21"/>
      <c r="J228" s="21"/>
      <c r="K228" s="21"/>
      <c r="L228" s="21"/>
      <c r="M228" s="21"/>
      <c r="N228" s="21"/>
      <c r="O228" s="21"/>
      <c r="P228" s="21"/>
      <c r="Q228" s="21" t="s">
        <v>175</v>
      </c>
    </row>
    <row r="229" spans="1:17">
      <c r="A229" s="21"/>
      <c r="B229" s="21"/>
      <c r="C229" s="21"/>
      <c r="D229" s="21"/>
      <c r="E229" s="21"/>
      <c r="F229" s="21"/>
      <c r="G229" s="21"/>
      <c r="H229" s="21"/>
      <c r="I229" s="21"/>
      <c r="J229" s="21"/>
      <c r="K229" s="21"/>
      <c r="L229" s="21"/>
      <c r="M229" s="21"/>
      <c r="N229" s="21"/>
      <c r="O229" s="21"/>
      <c r="P229" s="21"/>
      <c r="Q229" s="21" t="s">
        <v>175</v>
      </c>
    </row>
    <row r="230" spans="1:17">
      <c r="A230" s="21"/>
      <c r="B230" s="21"/>
      <c r="C230" s="21"/>
      <c r="D230" s="21"/>
      <c r="E230" s="21"/>
      <c r="F230" s="21"/>
      <c r="G230" s="21"/>
      <c r="H230" s="21"/>
      <c r="I230" s="21"/>
      <c r="J230" s="21"/>
      <c r="K230" s="21"/>
      <c r="L230" s="21"/>
      <c r="M230" s="21"/>
      <c r="N230" s="21"/>
      <c r="O230" s="21"/>
      <c r="P230" s="21"/>
      <c r="Q230" s="21" t="s">
        <v>175</v>
      </c>
    </row>
    <row r="231" spans="1:17">
      <c r="A231" s="21"/>
      <c r="B231" s="21"/>
      <c r="C231" s="21"/>
      <c r="D231" s="21"/>
      <c r="E231" s="21"/>
      <c r="F231" s="21"/>
      <c r="G231" s="21"/>
      <c r="H231" s="21"/>
      <c r="I231" s="21"/>
      <c r="J231" s="21"/>
      <c r="K231" s="21"/>
      <c r="L231" s="21"/>
      <c r="M231" s="21"/>
      <c r="N231" s="21"/>
      <c r="O231" s="21"/>
      <c r="P231" s="21"/>
      <c r="Q231" s="21" t="s">
        <v>175</v>
      </c>
    </row>
    <row r="232" spans="1:17">
      <c r="A232" s="21"/>
      <c r="B232" s="21"/>
      <c r="C232" s="21"/>
      <c r="D232" s="21"/>
      <c r="E232" s="21"/>
      <c r="F232" s="21"/>
      <c r="G232" s="21"/>
      <c r="H232" s="21"/>
      <c r="I232" s="21"/>
      <c r="J232" s="21"/>
      <c r="K232" s="21"/>
      <c r="L232" s="21"/>
      <c r="M232" s="21"/>
      <c r="N232" s="21"/>
      <c r="O232" s="21"/>
      <c r="P232" s="21"/>
      <c r="Q232" s="21" t="s">
        <v>175</v>
      </c>
    </row>
    <row r="233" spans="1:17">
      <c r="A233" s="21"/>
      <c r="B233" s="21"/>
      <c r="C233" s="21"/>
      <c r="D233" s="21"/>
      <c r="E233" s="21"/>
      <c r="F233" s="21"/>
      <c r="G233" s="21"/>
      <c r="H233" s="21"/>
      <c r="I233" s="21"/>
      <c r="J233" s="21"/>
      <c r="K233" s="21"/>
      <c r="L233" s="21"/>
      <c r="M233" s="21"/>
      <c r="N233" s="21"/>
      <c r="O233" s="21"/>
      <c r="P233" s="21"/>
      <c r="Q233" s="21" t="s">
        <v>175</v>
      </c>
    </row>
    <row r="234" spans="1:17">
      <c r="A234" s="21"/>
      <c r="B234" s="21"/>
      <c r="C234" s="21"/>
      <c r="D234" s="21"/>
      <c r="E234" s="21"/>
      <c r="F234" s="21"/>
      <c r="G234" s="21"/>
      <c r="H234" s="21"/>
      <c r="I234" s="21"/>
      <c r="J234" s="21"/>
      <c r="K234" s="21"/>
      <c r="L234" s="21"/>
      <c r="M234" s="21"/>
      <c r="N234" s="21"/>
      <c r="O234" s="21"/>
      <c r="P234" s="21"/>
      <c r="Q234" s="21" t="s">
        <v>175</v>
      </c>
    </row>
    <row r="235" spans="1:17">
      <c r="A235" s="21"/>
      <c r="B235" s="21"/>
      <c r="C235" s="21"/>
      <c r="D235" s="21"/>
      <c r="E235" s="21"/>
      <c r="F235" s="21"/>
      <c r="G235" s="21"/>
      <c r="H235" s="21"/>
      <c r="I235" s="21"/>
      <c r="J235" s="21"/>
      <c r="K235" s="21"/>
      <c r="L235" s="21"/>
      <c r="M235" s="21"/>
      <c r="N235" s="21"/>
      <c r="O235" s="21"/>
      <c r="P235" s="21"/>
      <c r="Q235" s="21" t="s">
        <v>175</v>
      </c>
    </row>
    <row r="236" spans="1:17">
      <c r="A236" s="21"/>
      <c r="B236" s="21"/>
      <c r="C236" s="21"/>
      <c r="D236" s="21"/>
      <c r="E236" s="21"/>
      <c r="F236" s="21"/>
      <c r="G236" s="21"/>
      <c r="H236" s="21"/>
      <c r="I236" s="21"/>
      <c r="J236" s="21"/>
      <c r="K236" s="21"/>
      <c r="L236" s="21"/>
      <c r="M236" s="21"/>
      <c r="N236" s="21"/>
      <c r="O236" s="21"/>
      <c r="P236" s="21"/>
      <c r="Q236" s="21" t="s">
        <v>175</v>
      </c>
    </row>
    <row r="237" spans="1:17">
      <c r="A237" s="21"/>
      <c r="B237" s="21"/>
      <c r="C237" s="21"/>
      <c r="D237" s="21"/>
      <c r="E237" s="21"/>
      <c r="F237" s="21"/>
      <c r="G237" s="21"/>
      <c r="H237" s="21"/>
      <c r="I237" s="21"/>
      <c r="J237" s="21"/>
      <c r="K237" s="21"/>
      <c r="L237" s="21"/>
      <c r="M237" s="21"/>
      <c r="N237" s="21"/>
      <c r="O237" s="21"/>
      <c r="P237" s="21"/>
      <c r="Q237" s="21" t="s">
        <v>175</v>
      </c>
    </row>
    <row r="238" spans="1:17">
      <c r="A238" s="21"/>
      <c r="B238" s="21"/>
      <c r="C238" s="21"/>
      <c r="D238" s="21"/>
      <c r="E238" s="21"/>
      <c r="F238" s="21"/>
      <c r="G238" s="21"/>
      <c r="H238" s="21"/>
      <c r="I238" s="21"/>
      <c r="J238" s="21"/>
      <c r="K238" s="21"/>
      <c r="L238" s="21"/>
      <c r="M238" s="21"/>
      <c r="N238" s="21"/>
      <c r="O238" s="21"/>
      <c r="P238" s="21"/>
      <c r="Q238" s="21" t="s">
        <v>175</v>
      </c>
    </row>
    <row r="239" spans="1:17">
      <c r="A239" s="21"/>
      <c r="B239" s="21"/>
      <c r="C239" s="21"/>
      <c r="D239" s="21"/>
      <c r="E239" s="21"/>
      <c r="F239" s="21"/>
      <c r="G239" s="21"/>
      <c r="H239" s="21"/>
      <c r="I239" s="21"/>
      <c r="J239" s="21"/>
      <c r="K239" s="21"/>
      <c r="L239" s="21"/>
      <c r="M239" s="21"/>
      <c r="N239" s="21"/>
      <c r="O239" s="21"/>
      <c r="P239" s="21"/>
      <c r="Q239" s="21" t="s">
        <v>175</v>
      </c>
    </row>
    <row r="240" spans="1:17">
      <c r="A240" s="21"/>
      <c r="B240" s="21"/>
      <c r="C240" s="21"/>
      <c r="D240" s="21"/>
      <c r="E240" s="21"/>
      <c r="F240" s="21"/>
      <c r="G240" s="21"/>
      <c r="H240" s="21"/>
      <c r="I240" s="21"/>
      <c r="J240" s="21"/>
      <c r="K240" s="21"/>
      <c r="L240" s="21"/>
      <c r="M240" s="21"/>
      <c r="N240" s="21"/>
      <c r="O240" s="21"/>
      <c r="P240" s="21"/>
      <c r="Q240" s="21" t="s">
        <v>175</v>
      </c>
    </row>
    <row r="241" spans="1:17">
      <c r="A241" s="21"/>
      <c r="B241" s="21"/>
      <c r="C241" s="21"/>
      <c r="D241" s="21"/>
      <c r="E241" s="21"/>
      <c r="F241" s="21"/>
      <c r="G241" s="21"/>
      <c r="H241" s="21"/>
      <c r="I241" s="21"/>
      <c r="J241" s="21"/>
      <c r="K241" s="21"/>
      <c r="L241" s="21"/>
      <c r="M241" s="21"/>
      <c r="N241" s="21"/>
      <c r="O241" s="21"/>
      <c r="P241" s="21"/>
      <c r="Q241" s="21" t="s">
        <v>175</v>
      </c>
    </row>
    <row r="242" spans="1:17">
      <c r="A242" s="21"/>
      <c r="B242" s="21"/>
      <c r="C242" s="21"/>
      <c r="D242" s="21"/>
      <c r="E242" s="21"/>
      <c r="F242" s="21"/>
      <c r="G242" s="21"/>
      <c r="H242" s="21"/>
      <c r="I242" s="21"/>
      <c r="J242" s="21"/>
      <c r="K242" s="21"/>
      <c r="L242" s="21"/>
      <c r="M242" s="21"/>
      <c r="N242" s="21"/>
      <c r="O242" s="21"/>
      <c r="P242" s="21"/>
      <c r="Q242" s="21" t="s">
        <v>175</v>
      </c>
    </row>
    <row r="243" spans="1:17">
      <c r="A243" s="21"/>
      <c r="B243" s="21"/>
      <c r="C243" s="21"/>
      <c r="D243" s="21"/>
      <c r="E243" s="21"/>
      <c r="F243" s="21"/>
      <c r="G243" s="21"/>
      <c r="H243" s="21"/>
      <c r="I243" s="21"/>
      <c r="J243" s="21"/>
      <c r="K243" s="21"/>
      <c r="L243" s="21"/>
      <c r="M243" s="21"/>
      <c r="N243" s="21"/>
      <c r="O243" s="21"/>
      <c r="P243" s="21"/>
      <c r="Q243" s="21" t="s">
        <v>175</v>
      </c>
    </row>
    <row r="244" spans="1:17">
      <c r="A244" s="21"/>
      <c r="B244" s="21"/>
      <c r="C244" s="21"/>
      <c r="D244" s="21"/>
      <c r="E244" s="21"/>
      <c r="F244" s="21"/>
      <c r="G244" s="21"/>
      <c r="H244" s="21"/>
      <c r="I244" s="21"/>
      <c r="J244" s="21"/>
      <c r="K244" s="21"/>
      <c r="L244" s="21"/>
      <c r="M244" s="21"/>
      <c r="N244" s="21"/>
      <c r="O244" s="21"/>
      <c r="P244" s="21"/>
      <c r="Q244" s="21" t="s">
        <v>175</v>
      </c>
    </row>
    <row r="245" spans="1:17">
      <c r="A245" s="21"/>
      <c r="B245" s="21"/>
      <c r="C245" s="21"/>
      <c r="D245" s="21"/>
      <c r="E245" s="21"/>
      <c r="F245" s="21"/>
      <c r="G245" s="21"/>
      <c r="H245" s="21"/>
      <c r="I245" s="21"/>
      <c r="J245" s="21"/>
      <c r="K245" s="21"/>
      <c r="L245" s="21"/>
      <c r="M245" s="21"/>
      <c r="N245" s="21"/>
      <c r="O245" s="21"/>
      <c r="P245" s="21"/>
      <c r="Q245" s="21" t="s">
        <v>175</v>
      </c>
    </row>
    <row r="246" spans="1:17">
      <c r="A246" s="21"/>
      <c r="B246" s="21"/>
      <c r="C246" s="21"/>
      <c r="D246" s="21"/>
      <c r="E246" s="21"/>
      <c r="F246" s="21"/>
      <c r="G246" s="21"/>
      <c r="H246" s="21"/>
      <c r="I246" s="21"/>
      <c r="J246" s="21"/>
      <c r="K246" s="21"/>
      <c r="L246" s="21"/>
      <c r="M246" s="21"/>
      <c r="N246" s="21"/>
      <c r="O246" s="21"/>
      <c r="P246" s="21"/>
      <c r="Q246" s="21" t="s">
        <v>175</v>
      </c>
    </row>
    <row r="247" spans="1:17">
      <c r="A247" s="21"/>
      <c r="B247" s="21"/>
      <c r="C247" s="21"/>
      <c r="D247" s="21"/>
      <c r="E247" s="21"/>
      <c r="F247" s="21"/>
      <c r="G247" s="21"/>
      <c r="H247" s="21"/>
      <c r="I247" s="21"/>
      <c r="J247" s="21"/>
      <c r="K247" s="21"/>
      <c r="L247" s="21"/>
      <c r="M247" s="21"/>
      <c r="N247" s="21"/>
      <c r="O247" s="21"/>
      <c r="P247" s="21"/>
      <c r="Q247" s="21" t="s">
        <v>175</v>
      </c>
    </row>
    <row r="248" spans="1:17">
      <c r="A248" s="21"/>
      <c r="B248" s="21"/>
      <c r="C248" s="21"/>
      <c r="D248" s="21"/>
      <c r="E248" s="21"/>
      <c r="F248" s="21"/>
      <c r="G248" s="21"/>
      <c r="H248" s="21"/>
      <c r="I248" s="21"/>
      <c r="J248" s="21"/>
      <c r="K248" s="21"/>
      <c r="L248" s="21"/>
      <c r="M248" s="21"/>
      <c r="N248" s="21"/>
      <c r="O248" s="21"/>
      <c r="P248" s="21"/>
      <c r="Q248" s="21" t="s">
        <v>175</v>
      </c>
    </row>
    <row r="249" spans="1:17">
      <c r="A249" s="21"/>
      <c r="B249" s="21"/>
      <c r="C249" s="21"/>
      <c r="D249" s="21"/>
      <c r="E249" s="21"/>
      <c r="F249" s="21"/>
      <c r="G249" s="21"/>
      <c r="H249" s="21"/>
      <c r="I249" s="21"/>
      <c r="J249" s="21"/>
      <c r="K249" s="21"/>
      <c r="L249" s="21"/>
      <c r="M249" s="21"/>
      <c r="N249" s="21"/>
      <c r="O249" s="21"/>
      <c r="P249" s="21"/>
      <c r="Q249" s="21" t="s">
        <v>175</v>
      </c>
    </row>
    <row r="250" spans="1:17">
      <c r="A250" s="21"/>
      <c r="B250" s="21"/>
      <c r="C250" s="21"/>
      <c r="D250" s="21"/>
      <c r="E250" s="21"/>
      <c r="F250" s="21"/>
      <c r="G250" s="21"/>
      <c r="H250" s="21"/>
      <c r="I250" s="21"/>
      <c r="J250" s="21"/>
      <c r="K250" s="21"/>
      <c r="L250" s="21"/>
      <c r="M250" s="21"/>
      <c r="N250" s="21"/>
      <c r="O250" s="21"/>
      <c r="P250" s="21"/>
      <c r="Q250" s="21" t="s">
        <v>175</v>
      </c>
    </row>
  </sheetData>
  <mergeCells count="4">
    <mergeCell ref="A1:G1"/>
    <mergeCell ref="A2:Q2"/>
    <mergeCell ref="A4:Q4"/>
    <mergeCell ref="A11:Q11"/>
  </mergeCells>
  <conditionalFormatting sqref="K13:K250">
    <cfRule type="cellIs" dxfId="7" priority="1" operator="equal">
      <formula>"Build"</formula>
    </cfRule>
    <cfRule type="cellIs" dxfId="6" priority="2" operator="equal">
      <formula>"Article-only"</formula>
    </cfRule>
    <cfRule type="cellIs" dxfId="5" priority="3" operator="equal">
      <formula>"Shelved"</formula>
    </cfRule>
    <cfRule type="cellIs" dxfId="4" priority="4" operator="equal">
      <formula>"Pending"</formula>
    </cfRule>
  </conditionalFormatting>
  <conditionalFormatting sqref="Q13:Q250">
    <cfRule type="cellIs" dxfId="3" priority="5" operator="equal">
      <formula>"Not Started"</formula>
    </cfRule>
    <cfRule type="cellIs" dxfId="2" priority="6" operator="equal">
      <formula>"In Progress"</formula>
    </cfRule>
    <cfRule type="cellIs" dxfId="1" priority="7" operator="equal">
      <formula>"Done"</formula>
    </cfRule>
    <cfRule type="cellIs" dxfId="0" priority="8" operator="equal">
      <formula>"Blocked"</formula>
    </cfRule>
  </conditionalFormatting>
  <dataValidations count="8">
    <dataValidation type="list" allowBlank="1" sqref="I13 H13:H31 H35:H250" xr:uid="{5FF46C24-704D-44AD-80BC-54C11223CF38}">
      <formula1>"Directed (Radar/Topics page),Emergent (Signal),AI-assisted (Claude/MCP)"</formula1>
      <formula2>0</formula2>
    </dataValidation>
    <dataValidation type="list" allowBlank="1" sqref="B13:B31 B35:B250" xr:uid="{6FBD5462-6434-4A97-8E53-5D358D86ECD8}">
      <formula1>"Nivethitha,Adithya A,Raunak Mangal"</formula1>
      <formula2>0</formula2>
    </dataValidation>
    <dataValidation type="list" allowBlank="1" sqref="G13:G31 G37:G250" xr:uid="{8CBEC9C9-9BED-4F39-8416-78A30E6021DA}">
      <formula1>"BFSI,Healthcare,Retail,Manufacturing,Cross-industry,Other"</formula1>
      <formula2>0</formula2>
    </dataValidation>
    <dataValidation type="list" allowBlank="1" sqref="F13:F31 F35 F37:F250" xr:uid="{3F2C8BA4-D44C-421D-ADAC-7D3B0976E2D2}">
      <formula1>"AWS,Azure,GCP,OpenAI,Anthropic,Open-source,Cross-cloud,Other"</formula1>
      <formula2>0</formula2>
    </dataValidation>
    <dataValidation type="list" allowBlank="1" sqref="E13:E31 E35 E37:E250" xr:uid="{0DBCB252-18F3-4985-8ECE-13FC7621903C}">
      <formula1>"GenAI,Agentic AI,Cloud AI/ML,Industry Application,Other"</formula1>
      <formula2>0</formula2>
    </dataValidation>
    <dataValidation type="list" allowBlank="1" sqref="Q13:Q250" xr:uid="{9F6ECA1F-DB55-42BA-8DB7-E63F85E19681}">
      <formula1>"Not Started,In Progress,Done,Blocked"</formula1>
      <formula2>0</formula2>
    </dataValidation>
    <dataValidation type="list" allowBlank="1" sqref="K13:K250" xr:uid="{DF655476-FD06-4E8A-A338-0E7781878ED3}">
      <formula1>"Build,Article-only,Shelved,Pending"</formula1>
      <formula2>0</formula2>
    </dataValidation>
    <dataValidation type="list" allowBlank="1" sqref="J13:J250" xr:uid="{D8BA7BAD-35EB-4221-BC2B-1BC857F88C71}">
      <formula1>"Low,Medium,High"</formula1>
      <formula2>0</formula2>
    </dataValidation>
  </dataValidations>
  <hyperlinks>
    <hyperlink ref="I15" r:id="rId1" xr:uid="{1EB4EAE5-D63E-4966-9AAE-107582D426EA}"/>
    <hyperlink ref="I16" r:id="rId2" xr:uid="{A5D86B02-E37A-4928-8E1C-1B5CBDBFE103}"/>
    <hyperlink ref="I14" r:id="rId3" xr:uid="{FF342F9C-AE2D-4947-A21A-8DE9F6001791}"/>
    <hyperlink ref="I17" r:id="rId4" xr:uid="{F37A1FAC-9E00-4004-8571-155B8D129ED1}"/>
    <hyperlink ref="I18" r:id="rId5" display="https://bend-lang.com/" xr:uid="{0BCC41C3-7645-4C2E-AFFB-4D2B7EBAC590}"/>
    <hyperlink ref="I19" r:id="rId6" xr:uid="{EE01C036-0A15-46CB-938C-3E520CA00BAE}"/>
    <hyperlink ref="I20" r:id="rId7" display="https://agentexecutor.io/" xr:uid="{851182F8-D751-4D73-BAD4-F0B126F8E9C4}"/>
    <hyperlink ref="I21" r:id="rId8" xr:uid="{291F7E92-6EEA-4955-AD24-20F4EF0E4655}"/>
    <hyperlink ref="I23" r:id="rId9" tooltip="https://github.com/aws-samples/sample-agentic-value-accelerator" xr:uid="{ED7E8F75-0EBB-4164-ADE2-87E51EF268C9}"/>
    <hyperlink ref="I24" r:id="rId10" xr:uid="{CF57D103-80B7-472F-B6BE-FE459D1E5546}"/>
    <hyperlink ref="I25" r:id="rId11" xr:uid="{098EE38B-D9DB-4857-A674-EEA34FE55FAA}"/>
    <hyperlink ref="I26" r:id="rId12" xr:uid="{21A8A154-51F0-4B92-8460-71037CD6C25A}"/>
    <hyperlink ref="I29" r:id="rId13" xr:uid="{5BC10CA4-9D9B-4C88-822B-B35E1977D83C}"/>
    <hyperlink ref="I30" r:id="rId14" xr:uid="{74F31A50-137D-4F00-AA98-17A77583BFFB}"/>
    <hyperlink ref="I31" r:id="rId15" xr:uid="{411CAEDB-DF0F-4361-9A5A-D8B31B8ABF74}"/>
    <hyperlink ref="I32" r:id="rId16" display="https://techafricanews.com/2026/09/24/alibaba-full-stack-ai-strategy-qwen-chips-agentic-cloud/" xr:uid="{25CADC50-2EA9-4CA3-8F56-81BCEAB6A21F}"/>
    <hyperlink ref="I33" r:id="rId17" display="https://lastexam.ai/blog/hle-diamond" xr:uid="{C7A3105D-D0A3-4C0E-8DBB-C5338C219772}"/>
    <hyperlink ref="I34" r:id="rId18" display="https://arxiv.org/abs/2609.29875" xr:uid="{03999D52-ACF1-45B8-9288-A5A12A7117F2}"/>
    <hyperlink ref="L18" r:id="rId19" xr:uid="{EC4D585F-1615-4B36-91A8-75AD4C329789}"/>
    <hyperlink ref="I35" r:id="rId20" xr:uid="{9FB11CA0-03C7-4B5C-86EC-021DCDC5AA8C}"/>
    <hyperlink ref="I36" r:id="rId21" xr:uid="{D5CF97C9-44D4-4C16-A393-C2B01BD0098D}"/>
    <hyperlink ref="I37" r:id="rId22" display="OneJev - a OmniJev Collection" xr:uid="{622FC678-E18D-4908-9E53-11559D5267F9}"/>
  </hyperlink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5D08C-DE36-4066-9F5C-3CDFE073E70E}">
  <dimension ref="A1:E81"/>
  <sheetViews>
    <sheetView showGridLines="0" zoomScaleNormal="100" workbookViewId="0">
      <selection activeCell="D9" sqref="D9"/>
    </sheetView>
  </sheetViews>
  <sheetFormatPr defaultColWidth="8.7109375" defaultRowHeight="15"/>
  <cols>
    <col min="1" max="1" width="18" customWidth="1"/>
    <col min="2" max="2" width="44" customWidth="1"/>
    <col min="3" max="3" width="40" customWidth="1"/>
    <col min="4" max="4" width="22.85546875" customWidth="1"/>
    <col min="5" max="5" width="18" customWidth="1"/>
  </cols>
  <sheetData>
    <row r="1" spans="1:5" ht="24" customHeight="1">
      <c r="A1" s="44" t="s">
        <v>274</v>
      </c>
      <c r="B1" s="44"/>
      <c r="C1" s="44"/>
      <c r="D1" s="44"/>
      <c r="E1" s="44"/>
    </row>
    <row r="2" spans="1:5" ht="25.5" customHeight="1">
      <c r="A2" s="49" t="s">
        <v>275</v>
      </c>
      <c r="B2" s="49"/>
      <c r="C2" s="49"/>
      <c r="D2" s="49"/>
      <c r="E2" s="49"/>
    </row>
    <row r="3" spans="1:5" ht="6" customHeight="1"/>
    <row r="4" spans="1:5" ht="18" customHeight="1">
      <c r="A4" s="4" t="s">
        <v>276</v>
      </c>
      <c r="B4" s="4" t="s">
        <v>277</v>
      </c>
      <c r="C4" s="4" t="s">
        <v>278</v>
      </c>
      <c r="D4" s="4" t="s">
        <v>147</v>
      </c>
      <c r="E4" s="4" t="s">
        <v>279</v>
      </c>
    </row>
    <row r="5" spans="1:5" ht="27.95">
      <c r="A5" s="3" t="s">
        <v>205</v>
      </c>
      <c r="B5" s="3" t="s">
        <v>280</v>
      </c>
      <c r="C5" s="3" t="s">
        <v>281</v>
      </c>
      <c r="D5" s="3" t="s">
        <v>161</v>
      </c>
      <c r="E5" s="3" t="s">
        <v>178</v>
      </c>
    </row>
    <row r="6" spans="1:5" ht="19.5" customHeight="1">
      <c r="A6" s="7" t="s">
        <v>205</v>
      </c>
      <c r="B6" s="7" t="s">
        <v>282</v>
      </c>
      <c r="C6" s="7" t="s">
        <v>283</v>
      </c>
      <c r="D6" s="7" t="s">
        <v>216</v>
      </c>
      <c r="E6" s="7" t="s">
        <v>178</v>
      </c>
    </row>
    <row r="7" spans="1:5" ht="19.5" customHeight="1">
      <c r="A7" s="3" t="s">
        <v>205</v>
      </c>
      <c r="B7" s="3" t="s">
        <v>284</v>
      </c>
      <c r="C7" s="3" t="s">
        <v>285</v>
      </c>
      <c r="D7" s="3" t="s">
        <v>286</v>
      </c>
      <c r="E7" s="3" t="s">
        <v>178</v>
      </c>
    </row>
    <row r="8" spans="1:5" ht="19.5" customHeight="1">
      <c r="A8" s="7" t="s">
        <v>205</v>
      </c>
      <c r="B8" s="7" t="s">
        <v>287</v>
      </c>
      <c r="C8" s="7" t="s">
        <v>288</v>
      </c>
      <c r="D8" s="7" t="s">
        <v>189</v>
      </c>
      <c r="E8" s="7" t="s">
        <v>178</v>
      </c>
    </row>
    <row r="9" spans="1:5" ht="19.5" customHeight="1">
      <c r="A9" s="3" t="s">
        <v>205</v>
      </c>
      <c r="B9" s="3" t="s">
        <v>289</v>
      </c>
      <c r="C9" s="3" t="s">
        <v>290</v>
      </c>
      <c r="D9" s="3" t="s">
        <v>291</v>
      </c>
      <c r="E9" s="3" t="s">
        <v>178</v>
      </c>
    </row>
    <row r="10" spans="1:5" ht="19.5" customHeight="1">
      <c r="A10" s="7" t="s">
        <v>205</v>
      </c>
      <c r="B10" s="7" t="s">
        <v>292</v>
      </c>
      <c r="C10" s="7" t="s">
        <v>293</v>
      </c>
      <c r="D10" s="7" t="s">
        <v>294</v>
      </c>
      <c r="E10" s="7" t="s">
        <v>178</v>
      </c>
    </row>
    <row r="11" spans="1:5" ht="19.5" customHeight="1">
      <c r="A11" s="3" t="s">
        <v>205</v>
      </c>
      <c r="B11" s="3" t="s">
        <v>295</v>
      </c>
      <c r="C11" s="3" t="s">
        <v>296</v>
      </c>
      <c r="D11" s="3" t="s">
        <v>171</v>
      </c>
      <c r="E11" s="3" t="s">
        <v>178</v>
      </c>
    </row>
    <row r="12" spans="1:5" ht="27.95">
      <c r="A12" s="7" t="s">
        <v>205</v>
      </c>
      <c r="B12" s="7" t="s">
        <v>297</v>
      </c>
      <c r="C12" s="7" t="s">
        <v>298</v>
      </c>
      <c r="D12" s="7" t="s">
        <v>171</v>
      </c>
      <c r="E12" s="7" t="s">
        <v>299</v>
      </c>
    </row>
    <row r="13" spans="1:5" ht="19.5" customHeight="1">
      <c r="A13" s="3" t="s">
        <v>205</v>
      </c>
      <c r="B13" s="3" t="s">
        <v>300</v>
      </c>
      <c r="C13" s="3" t="s">
        <v>301</v>
      </c>
      <c r="D13" s="3" t="s">
        <v>171</v>
      </c>
      <c r="E13" s="3" t="s">
        <v>178</v>
      </c>
    </row>
    <row r="14" spans="1:5" ht="27.95">
      <c r="A14" s="7" t="s">
        <v>205</v>
      </c>
      <c r="B14" s="7" t="s">
        <v>302</v>
      </c>
      <c r="C14" s="7" t="s">
        <v>303</v>
      </c>
      <c r="D14" s="7" t="s">
        <v>171</v>
      </c>
      <c r="E14" s="7" t="s">
        <v>178</v>
      </c>
    </row>
    <row r="15" spans="1:5" ht="19.5" customHeight="1">
      <c r="A15" s="3" t="s">
        <v>205</v>
      </c>
      <c r="B15" s="3" t="s">
        <v>304</v>
      </c>
      <c r="C15" s="3" t="s">
        <v>305</v>
      </c>
      <c r="D15" s="3" t="s">
        <v>171</v>
      </c>
      <c r="E15" s="3" t="s">
        <v>178</v>
      </c>
    </row>
    <row r="16" spans="1:5" ht="19.5" customHeight="1">
      <c r="A16" s="7" t="s">
        <v>205</v>
      </c>
      <c r="B16" s="7" t="s">
        <v>306</v>
      </c>
      <c r="C16" s="7" t="s">
        <v>307</v>
      </c>
      <c r="D16" s="7" t="s">
        <v>161</v>
      </c>
      <c r="E16" s="7" t="s">
        <v>178</v>
      </c>
    </row>
    <row r="17" spans="1:5" ht="19.5" customHeight="1">
      <c r="A17" s="3" t="s">
        <v>205</v>
      </c>
      <c r="B17" s="3" t="s">
        <v>308</v>
      </c>
      <c r="C17" s="3" t="s">
        <v>309</v>
      </c>
      <c r="D17" s="3" t="s">
        <v>171</v>
      </c>
      <c r="E17" s="3" t="s">
        <v>310</v>
      </c>
    </row>
    <row r="18" spans="1:5" ht="19.5" customHeight="1">
      <c r="A18" s="7" t="s">
        <v>205</v>
      </c>
      <c r="B18" s="7" t="s">
        <v>311</v>
      </c>
      <c r="C18" s="7" t="s">
        <v>312</v>
      </c>
      <c r="D18" s="7" t="s">
        <v>171</v>
      </c>
      <c r="E18" s="7" t="s">
        <v>178</v>
      </c>
    </row>
    <row r="19" spans="1:5" ht="19.5" customHeight="1">
      <c r="A19" s="3" t="s">
        <v>205</v>
      </c>
      <c r="B19" s="3" t="s">
        <v>313</v>
      </c>
      <c r="C19" s="3" t="s">
        <v>314</v>
      </c>
      <c r="D19" s="3" t="s">
        <v>171</v>
      </c>
      <c r="E19" s="3" t="s">
        <v>178</v>
      </c>
    </row>
    <row r="20" spans="1:5" ht="19.5" customHeight="1">
      <c r="A20" s="7" t="s">
        <v>205</v>
      </c>
      <c r="B20" s="7" t="s">
        <v>315</v>
      </c>
      <c r="C20" s="7" t="s">
        <v>316</v>
      </c>
      <c r="D20" s="7" t="s">
        <v>171</v>
      </c>
      <c r="E20" s="7" t="s">
        <v>178</v>
      </c>
    </row>
    <row r="21" spans="1:5" ht="19.5" customHeight="1">
      <c r="A21" s="3" t="s">
        <v>183</v>
      </c>
      <c r="B21" s="3" t="s">
        <v>317</v>
      </c>
      <c r="C21" s="3" t="s">
        <v>318</v>
      </c>
      <c r="D21" s="3" t="s">
        <v>161</v>
      </c>
      <c r="E21" s="3" t="s">
        <v>178</v>
      </c>
    </row>
    <row r="22" spans="1:5" ht="19.5" customHeight="1">
      <c r="A22" s="7" t="s">
        <v>183</v>
      </c>
      <c r="B22" s="7" t="s">
        <v>319</v>
      </c>
      <c r="C22" s="7" t="s">
        <v>320</v>
      </c>
      <c r="D22" s="7" t="s">
        <v>171</v>
      </c>
      <c r="E22" s="7" t="s">
        <v>178</v>
      </c>
    </row>
    <row r="23" spans="1:5" ht="19.5" customHeight="1">
      <c r="A23" s="3" t="s">
        <v>183</v>
      </c>
      <c r="B23" s="3" t="s">
        <v>321</v>
      </c>
      <c r="C23" s="3" t="s">
        <v>322</v>
      </c>
      <c r="D23" s="3" t="s">
        <v>171</v>
      </c>
      <c r="E23" s="3" t="s">
        <v>323</v>
      </c>
    </row>
    <row r="24" spans="1:5" ht="19.5" customHeight="1">
      <c r="A24" s="7" t="s">
        <v>183</v>
      </c>
      <c r="B24" s="7" t="s">
        <v>324</v>
      </c>
      <c r="C24" s="7" t="s">
        <v>325</v>
      </c>
      <c r="D24" s="7" t="s">
        <v>171</v>
      </c>
      <c r="E24" s="7" t="s">
        <v>310</v>
      </c>
    </row>
    <row r="25" spans="1:5" ht="19.5" customHeight="1">
      <c r="A25" s="3" t="s">
        <v>183</v>
      </c>
      <c r="B25" s="3" t="s">
        <v>326</v>
      </c>
      <c r="C25" s="3" t="s">
        <v>327</v>
      </c>
      <c r="D25" s="3" t="s">
        <v>171</v>
      </c>
      <c r="E25" s="3" t="s">
        <v>178</v>
      </c>
    </row>
    <row r="26" spans="1:5" ht="19.5" customHeight="1">
      <c r="A26" s="7" t="s">
        <v>183</v>
      </c>
      <c r="B26" s="7" t="s">
        <v>328</v>
      </c>
      <c r="C26" s="7" t="s">
        <v>329</v>
      </c>
      <c r="D26" s="7" t="s">
        <v>161</v>
      </c>
      <c r="E26" s="7" t="s">
        <v>178</v>
      </c>
    </row>
    <row r="27" spans="1:5" ht="19.5" customHeight="1">
      <c r="A27" s="3" t="s">
        <v>183</v>
      </c>
      <c r="B27" s="3" t="s">
        <v>330</v>
      </c>
      <c r="C27" s="3" t="s">
        <v>331</v>
      </c>
      <c r="D27" s="3" t="s">
        <v>171</v>
      </c>
      <c r="E27" s="3" t="s">
        <v>178</v>
      </c>
    </row>
    <row r="28" spans="1:5" ht="19.5" customHeight="1">
      <c r="A28" s="7" t="s">
        <v>183</v>
      </c>
      <c r="B28" s="7" t="s">
        <v>332</v>
      </c>
      <c r="C28" s="7" t="s">
        <v>333</v>
      </c>
      <c r="D28" s="7" t="s">
        <v>171</v>
      </c>
      <c r="E28" s="7" t="s">
        <v>334</v>
      </c>
    </row>
    <row r="29" spans="1:5" ht="19.5" customHeight="1">
      <c r="A29" s="3" t="s">
        <v>183</v>
      </c>
      <c r="B29" s="3" t="s">
        <v>335</v>
      </c>
      <c r="C29" s="3" t="s">
        <v>336</v>
      </c>
      <c r="D29" s="3" t="s">
        <v>161</v>
      </c>
      <c r="E29" s="3" t="s">
        <v>178</v>
      </c>
    </row>
    <row r="30" spans="1:5" ht="19.5" customHeight="1">
      <c r="A30" s="7" t="s">
        <v>183</v>
      </c>
      <c r="B30" s="7" t="s">
        <v>337</v>
      </c>
      <c r="C30" s="7" t="s">
        <v>338</v>
      </c>
      <c r="D30" s="7" t="s">
        <v>171</v>
      </c>
      <c r="E30" s="7" t="s">
        <v>178</v>
      </c>
    </row>
    <row r="31" spans="1:5" ht="27.95">
      <c r="A31" s="3" t="s">
        <v>183</v>
      </c>
      <c r="B31" s="3" t="s">
        <v>339</v>
      </c>
      <c r="C31" s="3" t="s">
        <v>340</v>
      </c>
      <c r="D31" s="3" t="s">
        <v>171</v>
      </c>
      <c r="E31" s="3" t="s">
        <v>178</v>
      </c>
    </row>
    <row r="32" spans="1:5">
      <c r="A32" s="7" t="s">
        <v>183</v>
      </c>
      <c r="B32" s="7" t="s">
        <v>341</v>
      </c>
      <c r="C32" s="7" t="s">
        <v>342</v>
      </c>
      <c r="D32" s="7" t="s">
        <v>161</v>
      </c>
      <c r="E32" s="7" t="s">
        <v>178</v>
      </c>
    </row>
    <row r="33" spans="1:5">
      <c r="A33" s="3" t="s">
        <v>183</v>
      </c>
      <c r="B33" s="3" t="s">
        <v>343</v>
      </c>
      <c r="C33" s="3" t="s">
        <v>344</v>
      </c>
      <c r="D33" s="3" t="s">
        <v>171</v>
      </c>
      <c r="E33" s="3" t="s">
        <v>178</v>
      </c>
    </row>
    <row r="34" spans="1:5" ht="27.95">
      <c r="A34" s="7" t="s">
        <v>183</v>
      </c>
      <c r="B34" s="7" t="s">
        <v>345</v>
      </c>
      <c r="C34" s="7" t="s">
        <v>346</v>
      </c>
      <c r="D34" s="7" t="s">
        <v>171</v>
      </c>
      <c r="E34" s="7" t="s">
        <v>178</v>
      </c>
    </row>
    <row r="35" spans="1:5">
      <c r="A35" s="3" t="s">
        <v>183</v>
      </c>
      <c r="B35" s="3" t="s">
        <v>347</v>
      </c>
      <c r="C35" s="3" t="s">
        <v>348</v>
      </c>
      <c r="D35" s="3" t="s">
        <v>171</v>
      </c>
      <c r="E35" s="3" t="s">
        <v>178</v>
      </c>
    </row>
    <row r="36" spans="1:5">
      <c r="A36" s="7" t="s">
        <v>183</v>
      </c>
      <c r="B36" s="7" t="s">
        <v>349</v>
      </c>
      <c r="C36" s="7" t="s">
        <v>350</v>
      </c>
      <c r="D36" s="7" t="s">
        <v>171</v>
      </c>
      <c r="E36" s="7" t="s">
        <v>178</v>
      </c>
    </row>
    <row r="37" spans="1:5" ht="27.95">
      <c r="A37" s="3" t="s">
        <v>183</v>
      </c>
      <c r="B37" s="3" t="s">
        <v>351</v>
      </c>
      <c r="C37" s="3" t="s">
        <v>352</v>
      </c>
      <c r="D37" s="3" t="s">
        <v>161</v>
      </c>
      <c r="E37" s="3" t="s">
        <v>178</v>
      </c>
    </row>
    <row r="38" spans="1:5" ht="27.95">
      <c r="A38" s="7" t="s">
        <v>183</v>
      </c>
      <c r="B38" s="7" t="s">
        <v>353</v>
      </c>
      <c r="C38" s="7" t="s">
        <v>354</v>
      </c>
      <c r="D38" s="7" t="s">
        <v>171</v>
      </c>
      <c r="E38" s="7" t="s">
        <v>178</v>
      </c>
    </row>
    <row r="39" spans="1:5" ht="27.95">
      <c r="A39" s="3" t="s">
        <v>355</v>
      </c>
      <c r="B39" s="3" t="s">
        <v>356</v>
      </c>
      <c r="C39" s="3" t="s">
        <v>357</v>
      </c>
      <c r="D39" s="3" t="s">
        <v>216</v>
      </c>
      <c r="E39" s="3" t="s">
        <v>178</v>
      </c>
    </row>
    <row r="40" spans="1:5">
      <c r="A40" s="7" t="s">
        <v>355</v>
      </c>
      <c r="B40" s="7" t="s">
        <v>358</v>
      </c>
      <c r="C40" s="7" t="s">
        <v>359</v>
      </c>
      <c r="D40" s="7" t="s">
        <v>286</v>
      </c>
      <c r="E40" s="7" t="s">
        <v>178</v>
      </c>
    </row>
    <row r="41" spans="1:5">
      <c r="A41" s="3" t="s">
        <v>355</v>
      </c>
      <c r="B41" s="3" t="s">
        <v>360</v>
      </c>
      <c r="C41" s="3" t="s">
        <v>361</v>
      </c>
      <c r="D41" s="3" t="s">
        <v>189</v>
      </c>
      <c r="E41" s="3" t="s">
        <v>178</v>
      </c>
    </row>
    <row r="42" spans="1:5" ht="27.95">
      <c r="A42" s="7" t="s">
        <v>355</v>
      </c>
      <c r="B42" s="7" t="s">
        <v>362</v>
      </c>
      <c r="C42" s="7" t="s">
        <v>363</v>
      </c>
      <c r="D42" s="7" t="s">
        <v>364</v>
      </c>
      <c r="E42" s="7" t="s">
        <v>365</v>
      </c>
    </row>
    <row r="43" spans="1:5" ht="27.95">
      <c r="A43" s="3" t="s">
        <v>355</v>
      </c>
      <c r="B43" s="3" t="s">
        <v>366</v>
      </c>
      <c r="C43" s="3" t="s">
        <v>367</v>
      </c>
      <c r="D43" s="3" t="s">
        <v>368</v>
      </c>
      <c r="E43" s="3" t="s">
        <v>369</v>
      </c>
    </row>
    <row r="44" spans="1:5">
      <c r="A44" s="7" t="s">
        <v>355</v>
      </c>
      <c r="B44" s="7" t="s">
        <v>370</v>
      </c>
      <c r="C44" s="7" t="s">
        <v>371</v>
      </c>
      <c r="D44" s="7" t="s">
        <v>372</v>
      </c>
      <c r="E44" s="7" t="s">
        <v>178</v>
      </c>
    </row>
    <row r="45" spans="1:5">
      <c r="A45" s="3" t="s">
        <v>355</v>
      </c>
      <c r="B45" s="3" t="s">
        <v>373</v>
      </c>
      <c r="C45" s="3" t="s">
        <v>374</v>
      </c>
      <c r="D45" s="3" t="s">
        <v>375</v>
      </c>
      <c r="E45" s="3" t="s">
        <v>178</v>
      </c>
    </row>
    <row r="46" spans="1:5" ht="27.95">
      <c r="A46" s="7" t="s">
        <v>355</v>
      </c>
      <c r="B46" s="7" t="s">
        <v>376</v>
      </c>
      <c r="C46" s="7" t="s">
        <v>377</v>
      </c>
      <c r="D46" s="7" t="s">
        <v>378</v>
      </c>
      <c r="E46" s="7" t="s">
        <v>178</v>
      </c>
    </row>
    <row r="47" spans="1:5" ht="27.95">
      <c r="A47" s="3" t="s">
        <v>355</v>
      </c>
      <c r="B47" s="3" t="s">
        <v>379</v>
      </c>
      <c r="C47" s="3" t="s">
        <v>380</v>
      </c>
      <c r="D47" s="3" t="s">
        <v>381</v>
      </c>
      <c r="E47" s="3" t="s">
        <v>178</v>
      </c>
    </row>
    <row r="48" spans="1:5">
      <c r="A48" s="7" t="s">
        <v>355</v>
      </c>
      <c r="B48" s="7" t="s">
        <v>382</v>
      </c>
      <c r="C48" s="7" t="s">
        <v>383</v>
      </c>
      <c r="D48" s="7" t="s">
        <v>171</v>
      </c>
      <c r="E48" s="7" t="s">
        <v>178</v>
      </c>
    </row>
    <row r="49" spans="1:5" ht="27.95">
      <c r="A49" s="3" t="s">
        <v>160</v>
      </c>
      <c r="B49" s="3" t="s">
        <v>169</v>
      </c>
      <c r="C49" s="3" t="s">
        <v>384</v>
      </c>
      <c r="D49" s="3" t="s">
        <v>171</v>
      </c>
      <c r="E49" s="3" t="s">
        <v>172</v>
      </c>
    </row>
    <row r="50" spans="1:5">
      <c r="A50" s="7" t="s">
        <v>160</v>
      </c>
      <c r="B50" s="7" t="s">
        <v>385</v>
      </c>
      <c r="C50" s="7" t="s">
        <v>386</v>
      </c>
      <c r="D50" s="7" t="s">
        <v>171</v>
      </c>
      <c r="E50" s="7" t="s">
        <v>387</v>
      </c>
    </row>
    <row r="51" spans="1:5" ht="27.95">
      <c r="A51" s="3" t="s">
        <v>160</v>
      </c>
      <c r="B51" s="3" t="s">
        <v>388</v>
      </c>
      <c r="C51" s="3" t="s">
        <v>389</v>
      </c>
      <c r="D51" s="3" t="s">
        <v>171</v>
      </c>
      <c r="E51" s="3" t="s">
        <v>390</v>
      </c>
    </row>
    <row r="52" spans="1:5" ht="27.95">
      <c r="A52" s="7" t="s">
        <v>160</v>
      </c>
      <c r="B52" s="7" t="s">
        <v>391</v>
      </c>
      <c r="C52" s="7" t="s">
        <v>392</v>
      </c>
      <c r="D52" s="7" t="s">
        <v>171</v>
      </c>
      <c r="E52" s="7" t="s">
        <v>393</v>
      </c>
    </row>
    <row r="53" spans="1:5" ht="27.95">
      <c r="A53" s="3" t="s">
        <v>160</v>
      </c>
      <c r="B53" s="3" t="s">
        <v>394</v>
      </c>
      <c r="C53" s="3" t="s">
        <v>395</v>
      </c>
      <c r="D53" s="3" t="s">
        <v>171</v>
      </c>
      <c r="E53" s="3" t="s">
        <v>178</v>
      </c>
    </row>
    <row r="54" spans="1:5">
      <c r="A54" s="7" t="s">
        <v>160</v>
      </c>
      <c r="B54" s="7" t="s">
        <v>396</v>
      </c>
      <c r="C54" s="7" t="s">
        <v>397</v>
      </c>
      <c r="D54" s="7" t="s">
        <v>171</v>
      </c>
      <c r="E54" s="7" t="s">
        <v>398</v>
      </c>
    </row>
    <row r="55" spans="1:5" ht="27.95">
      <c r="A55" s="3" t="s">
        <v>160</v>
      </c>
      <c r="B55" s="3" t="s">
        <v>399</v>
      </c>
      <c r="C55" s="3" t="s">
        <v>400</v>
      </c>
      <c r="D55" s="3" t="s">
        <v>171</v>
      </c>
      <c r="E55" s="3" t="s">
        <v>401</v>
      </c>
    </row>
    <row r="56" spans="1:5" ht="27.95">
      <c r="A56" s="7" t="s">
        <v>160</v>
      </c>
      <c r="B56" s="7" t="s">
        <v>402</v>
      </c>
      <c r="C56" s="7" t="s">
        <v>403</v>
      </c>
      <c r="D56" s="7" t="s">
        <v>171</v>
      </c>
      <c r="E56" s="7" t="s">
        <v>404</v>
      </c>
    </row>
    <row r="57" spans="1:5">
      <c r="A57" s="3" t="s">
        <v>160</v>
      </c>
      <c r="B57" s="3" t="s">
        <v>405</v>
      </c>
      <c r="C57" s="3" t="s">
        <v>406</v>
      </c>
      <c r="D57" s="3" t="s">
        <v>171</v>
      </c>
      <c r="E57" s="3" t="s">
        <v>407</v>
      </c>
    </row>
    <row r="58" spans="1:5" ht="27.95">
      <c r="A58" s="7" t="s">
        <v>160</v>
      </c>
      <c r="B58" s="7" t="s">
        <v>408</v>
      </c>
      <c r="C58" s="7" t="s">
        <v>409</v>
      </c>
      <c r="D58" s="7" t="s">
        <v>171</v>
      </c>
      <c r="E58" s="7" t="s">
        <v>410</v>
      </c>
    </row>
    <row r="59" spans="1:5" ht="27.95">
      <c r="A59" s="3" t="s">
        <v>160</v>
      </c>
      <c r="B59" s="3" t="s">
        <v>411</v>
      </c>
      <c r="C59" s="3" t="s">
        <v>412</v>
      </c>
      <c r="D59" s="3" t="s">
        <v>171</v>
      </c>
      <c r="E59" s="3" t="s">
        <v>413</v>
      </c>
    </row>
    <row r="60" spans="1:5" ht="27.95">
      <c r="A60" s="7" t="s">
        <v>160</v>
      </c>
      <c r="B60" s="7" t="s">
        <v>414</v>
      </c>
      <c r="C60" s="7" t="s">
        <v>415</v>
      </c>
      <c r="D60" s="7" t="s">
        <v>171</v>
      </c>
      <c r="E60" s="7" t="s">
        <v>299</v>
      </c>
    </row>
    <row r="61" spans="1:5" ht="27.95">
      <c r="A61" s="3" t="s">
        <v>416</v>
      </c>
      <c r="B61" s="3" t="s">
        <v>417</v>
      </c>
      <c r="C61" s="3" t="s">
        <v>418</v>
      </c>
      <c r="D61" s="3" t="s">
        <v>171</v>
      </c>
      <c r="E61" s="3" t="s">
        <v>178</v>
      </c>
    </row>
    <row r="62" spans="1:5" ht="27.95">
      <c r="A62" s="7" t="s">
        <v>416</v>
      </c>
      <c r="B62" s="7" t="s">
        <v>419</v>
      </c>
      <c r="C62" s="7" t="s">
        <v>420</v>
      </c>
      <c r="D62" s="7" t="s">
        <v>161</v>
      </c>
      <c r="E62" s="7" t="s">
        <v>178</v>
      </c>
    </row>
    <row r="63" spans="1:5" ht="27.95">
      <c r="A63" s="3" t="s">
        <v>416</v>
      </c>
      <c r="B63" s="3" t="s">
        <v>421</v>
      </c>
      <c r="C63" s="3" t="s">
        <v>422</v>
      </c>
      <c r="D63" s="3" t="s">
        <v>171</v>
      </c>
      <c r="E63" s="3" t="s">
        <v>178</v>
      </c>
    </row>
    <row r="64" spans="1:5" ht="27.95">
      <c r="A64" s="7" t="s">
        <v>416</v>
      </c>
      <c r="B64" s="7" t="s">
        <v>423</v>
      </c>
      <c r="C64" s="7" t="s">
        <v>424</v>
      </c>
      <c r="D64" s="7" t="s">
        <v>171</v>
      </c>
      <c r="E64" s="7" t="s">
        <v>178</v>
      </c>
    </row>
    <row r="65" spans="1:5" ht="27.95">
      <c r="A65" s="3" t="s">
        <v>416</v>
      </c>
      <c r="B65" s="3" t="s">
        <v>425</v>
      </c>
      <c r="C65" s="3" t="s">
        <v>426</v>
      </c>
      <c r="D65" s="3" t="s">
        <v>171</v>
      </c>
      <c r="E65" s="3" t="s">
        <v>178</v>
      </c>
    </row>
    <row r="66" spans="1:5" ht="27.95">
      <c r="A66" s="7" t="s">
        <v>416</v>
      </c>
      <c r="B66" s="7" t="s">
        <v>427</v>
      </c>
      <c r="C66" s="7" t="s">
        <v>428</v>
      </c>
      <c r="D66" s="7" t="s">
        <v>161</v>
      </c>
      <c r="E66" s="7" t="s">
        <v>178</v>
      </c>
    </row>
    <row r="67" spans="1:5" ht="27.95">
      <c r="A67" s="3" t="s">
        <v>416</v>
      </c>
      <c r="B67" s="3" t="s">
        <v>429</v>
      </c>
      <c r="C67" s="3" t="s">
        <v>430</v>
      </c>
      <c r="D67" s="3" t="s">
        <v>171</v>
      </c>
      <c r="E67" s="3" t="s">
        <v>178</v>
      </c>
    </row>
    <row r="68" spans="1:5" ht="27.95">
      <c r="A68" s="7" t="s">
        <v>416</v>
      </c>
      <c r="B68" s="7" t="s">
        <v>431</v>
      </c>
      <c r="C68" s="7" t="s">
        <v>432</v>
      </c>
      <c r="D68" s="7" t="s">
        <v>171</v>
      </c>
      <c r="E68" s="7" t="s">
        <v>178</v>
      </c>
    </row>
    <row r="69" spans="1:5" ht="27.95">
      <c r="A69" s="3" t="s">
        <v>433</v>
      </c>
      <c r="B69" s="3" t="s">
        <v>434</v>
      </c>
      <c r="C69" s="3" t="s">
        <v>435</v>
      </c>
      <c r="D69" s="3" t="s">
        <v>171</v>
      </c>
      <c r="E69" s="3" t="s">
        <v>178</v>
      </c>
    </row>
    <row r="70" spans="1:5" ht="27.95">
      <c r="A70" s="7" t="s">
        <v>433</v>
      </c>
      <c r="B70" s="7" t="s">
        <v>436</v>
      </c>
      <c r="C70" s="7" t="s">
        <v>437</v>
      </c>
      <c r="D70" s="7" t="s">
        <v>171</v>
      </c>
      <c r="E70" s="7" t="s">
        <v>438</v>
      </c>
    </row>
    <row r="71" spans="1:5" ht="27.95">
      <c r="A71" s="3" t="s">
        <v>433</v>
      </c>
      <c r="B71" s="3" t="s">
        <v>439</v>
      </c>
      <c r="C71" s="3" t="s">
        <v>440</v>
      </c>
      <c r="D71" s="3" t="s">
        <v>171</v>
      </c>
      <c r="E71" s="3" t="s">
        <v>178</v>
      </c>
    </row>
    <row r="72" spans="1:5" ht="27.95">
      <c r="A72" s="7" t="s">
        <v>433</v>
      </c>
      <c r="B72" s="7" t="s">
        <v>441</v>
      </c>
      <c r="C72" s="7" t="s">
        <v>442</v>
      </c>
      <c r="D72" s="7" t="s">
        <v>171</v>
      </c>
      <c r="E72" s="7" t="s">
        <v>178</v>
      </c>
    </row>
    <row r="73" spans="1:5" ht="27.95">
      <c r="A73" s="3" t="s">
        <v>433</v>
      </c>
      <c r="B73" s="3" t="s">
        <v>443</v>
      </c>
      <c r="C73" s="3" t="s">
        <v>444</v>
      </c>
      <c r="D73" s="3" t="s">
        <v>171</v>
      </c>
      <c r="E73" s="3" t="s">
        <v>178</v>
      </c>
    </row>
    <row r="74" spans="1:5" ht="27.95">
      <c r="A74" s="7" t="s">
        <v>433</v>
      </c>
      <c r="B74" s="7" t="s">
        <v>445</v>
      </c>
      <c r="C74" s="7" t="s">
        <v>446</v>
      </c>
      <c r="D74" s="7" t="s">
        <v>171</v>
      </c>
      <c r="E74" s="7" t="s">
        <v>178</v>
      </c>
    </row>
    <row r="75" spans="1:5" ht="27.95">
      <c r="A75" s="3" t="s">
        <v>433</v>
      </c>
      <c r="B75" s="3" t="s">
        <v>447</v>
      </c>
      <c r="C75" s="3" t="s">
        <v>448</v>
      </c>
      <c r="D75" s="3" t="s">
        <v>171</v>
      </c>
      <c r="E75" s="3" t="s">
        <v>178</v>
      </c>
    </row>
    <row r="76" spans="1:5" ht="27.95">
      <c r="A76" s="7" t="s">
        <v>449</v>
      </c>
      <c r="B76" s="7" t="s">
        <v>450</v>
      </c>
      <c r="C76" s="7" t="s">
        <v>451</v>
      </c>
      <c r="D76" s="7" t="s">
        <v>171</v>
      </c>
      <c r="E76" s="7" t="s">
        <v>299</v>
      </c>
    </row>
    <row r="77" spans="1:5" ht="27.95">
      <c r="A77" s="3" t="s">
        <v>449</v>
      </c>
      <c r="B77" s="3" t="s">
        <v>452</v>
      </c>
      <c r="C77" s="3" t="s">
        <v>453</v>
      </c>
      <c r="D77" s="3" t="s">
        <v>171</v>
      </c>
      <c r="E77" s="3" t="s">
        <v>299</v>
      </c>
    </row>
    <row r="78" spans="1:5" ht="27.95">
      <c r="A78" s="7" t="s">
        <v>449</v>
      </c>
      <c r="B78" s="7" t="s">
        <v>454</v>
      </c>
      <c r="C78" s="7" t="s">
        <v>455</v>
      </c>
      <c r="D78" s="7" t="s">
        <v>171</v>
      </c>
      <c r="E78" s="7" t="s">
        <v>178</v>
      </c>
    </row>
    <row r="79" spans="1:5" ht="27.95">
      <c r="A79" s="3" t="s">
        <v>449</v>
      </c>
      <c r="B79" s="3" t="s">
        <v>456</v>
      </c>
      <c r="C79" s="3" t="s">
        <v>457</v>
      </c>
      <c r="D79" s="3" t="s">
        <v>171</v>
      </c>
      <c r="E79" s="3" t="s">
        <v>299</v>
      </c>
    </row>
    <row r="80" spans="1:5" ht="27.95">
      <c r="A80" s="7" t="s">
        <v>449</v>
      </c>
      <c r="B80" s="7" t="s">
        <v>458</v>
      </c>
      <c r="C80" s="7" t="s">
        <v>459</v>
      </c>
      <c r="D80" s="7" t="s">
        <v>171</v>
      </c>
      <c r="E80" s="7" t="s">
        <v>299</v>
      </c>
    </row>
    <row r="81" spans="1:5" ht="27.95">
      <c r="A81" s="3" t="s">
        <v>449</v>
      </c>
      <c r="B81" s="3" t="s">
        <v>460</v>
      </c>
      <c r="C81" s="3" t="s">
        <v>461</v>
      </c>
      <c r="D81" s="3" t="s">
        <v>171</v>
      </c>
      <c r="E81" s="3" t="s">
        <v>299</v>
      </c>
    </row>
  </sheetData>
  <mergeCells count="2">
    <mergeCell ref="A1:E1"/>
    <mergeCell ref="A2:E2"/>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f96d3426-5444-4f23-9e02-99bd3cc7d1dc">
      <Terms xmlns="http://schemas.microsoft.com/office/infopath/2007/PartnerControls"/>
    </lcf76f155ced4ddcb4097134ff3c332f>
    <TaxCatchAll xmlns="b0312569-4daf-4f67-94e6-5f71862a3ad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E361AE868E4984DA9F75EE1503FC5C5" ma:contentTypeVersion="18" ma:contentTypeDescription="Create a new document." ma:contentTypeScope="" ma:versionID="7e2cdbcf7c284410b5a9fbfc7d477ce2">
  <xsd:schema xmlns:xsd="http://www.w3.org/2001/XMLSchema" xmlns:xs="http://www.w3.org/2001/XMLSchema" xmlns:p="http://schemas.microsoft.com/office/2006/metadata/properties" xmlns:ns1="http://schemas.microsoft.com/sharepoint/v3" xmlns:ns2="f96d3426-5444-4f23-9e02-99bd3cc7d1dc" xmlns:ns3="b0312569-4daf-4f67-94e6-5f71862a3ad4" targetNamespace="http://schemas.microsoft.com/office/2006/metadata/properties" ma:root="true" ma:fieldsID="c66525388b375a159a8bb9c9840369f2" ns1:_="" ns2:_="" ns3:_="">
    <xsd:import namespace="http://schemas.microsoft.com/sharepoint/v3"/>
    <xsd:import namespace="f96d3426-5444-4f23-9e02-99bd3cc7d1dc"/>
    <xsd:import namespace="b0312569-4daf-4f67-94e6-5f71862a3ad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DateTaken" minOccurs="0"/>
                <xsd:element ref="ns2:MediaServiceOCR" minOccurs="0"/>
                <xsd:element ref="ns3:SharedWithUsers" minOccurs="0"/>
                <xsd:element ref="ns3:SharedWithDetails" minOccurs="0"/>
                <xsd:element ref="ns2:MediaServiceLocation"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96d3426-5444-4f23-9e02-99bd3cc7d1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9f6fa8d-ae41-4395-9027-7f3630b8291c"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0312569-4daf-4f67-94e6-5f71862a3ad4"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1801e3a-bfcd-4f0f-9597-b77b2cc48309}" ma:internalName="TaxCatchAll" ma:showField="CatchAllData" ma:web="b0312569-4daf-4f67-94e6-5f71862a3ad4">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7D4AB2D-8DFB-4178-AE78-58D064F24FDE}"/>
</file>

<file path=customXml/itemProps2.xml><?xml version="1.0" encoding="utf-8"?>
<ds:datastoreItem xmlns:ds="http://schemas.openxmlformats.org/officeDocument/2006/customXml" ds:itemID="{CFF60A17-EC92-4B6A-9BC3-58B6730D4700}"/>
</file>

<file path=customXml/itemProps3.xml><?xml version="1.0" encoding="utf-8"?>
<ds:datastoreItem xmlns:ds="http://schemas.openxmlformats.org/officeDocument/2006/customXml" ds:itemID="{A6CB9647-0E46-47F8-8824-74FA1109FA8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2026-09-09T13:25:19Z</dcterms:created>
  <dcterms:modified xsi:type="dcterms:W3CDTF">2026-10-01T08:48:57Z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0x0101003E361AE868E4984DA9F75EE1503FC5C5</vt:lpwstr>
  </property>
</Properties>
</file>